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nentsPractic_pst" sheetId="1" r:id="rId5"/>
    <sheet state="visible" name="Item Analysis" sheetId="2" r:id="rId6"/>
  </sheets>
  <definedNames/>
  <calcPr/>
</workbook>
</file>

<file path=xl/sharedStrings.xml><?xml version="1.0" encoding="utf-8"?>
<sst xmlns="http://schemas.openxmlformats.org/spreadsheetml/2006/main" count="194" uniqueCount="123">
  <si>
    <t>Teacher Name:</t>
  </si>
  <si>
    <t>Item analysis with partial credit</t>
  </si>
  <si>
    <t>R Miller</t>
  </si>
  <si>
    <t>Class:</t>
  </si>
  <si>
    <t>Mathematics 9</t>
  </si>
  <si>
    <t>Assignment Name:</t>
  </si>
  <si>
    <t>Exponents Practice Quiz (Part A/B)</t>
  </si>
  <si>
    <t>Due Date:</t>
  </si>
  <si>
    <t>Points Possible:</t>
  </si>
  <si>
    <t>Extra Points:</t>
  </si>
  <si>
    <t>Score Type:</t>
  </si>
  <si>
    <t>POINTS</t>
  </si>
  <si>
    <t>Student Num</t>
  </si>
  <si>
    <t>Student Name</t>
  </si>
  <si>
    <t>Score</t>
  </si>
  <si>
    <t>Part A</t>
  </si>
  <si>
    <t>Part B</t>
  </si>
  <si>
    <t>Percent</t>
  </si>
  <si>
    <t>Part A Average</t>
  </si>
  <si>
    <t>Part B Average</t>
  </si>
  <si>
    <t>Annicchiarico, Cohen</t>
  </si>
  <si>
    <t>Enter each item’s maximum in row 13, then earned points in rows 29–78. Decimals are allowed. Blank = ungraded; 0 = no credit.</t>
  </si>
  <si>
    <t>Current section results</t>
  </si>
  <si>
    <t>Maximum</t>
  </si>
  <si>
    <t>Scored students</t>
  </si>
  <si>
    <t>Mean points</t>
  </si>
  <si>
    <t>Mean / maximum</t>
  </si>
  <si>
    <t>Item maxima</t>
  </si>
  <si>
    <t>Maximum check</t>
  </si>
  <si>
    <t>Butcher, AJ</t>
  </si>
  <si>
    <t>Crann, Meekyo</t>
  </si>
  <si>
    <t>Dahl, Jake</t>
  </si>
  <si>
    <t>Dick, Calder</t>
  </si>
  <si>
    <t>Ewanchuk, Brayden</t>
  </si>
  <si>
    <t>Fulkerth, Hunter</t>
  </si>
  <si>
    <t>Grimsdale, Charles</t>
  </si>
  <si>
    <t>Gudge, Hudson</t>
  </si>
  <si>
    <t>Hrynyk, Hallie</t>
  </si>
  <si>
    <t>Hughes, Jace</t>
  </si>
  <si>
    <t>Kimmel, Emmy</t>
  </si>
  <si>
    <t>Krueger, Colin</t>
  </si>
  <si>
    <t>Mueller, Marco</t>
  </si>
  <si>
    <t>Park, Edwin</t>
  </si>
  <si>
    <t>Ruttan, Logan</t>
  </si>
  <si>
    <t>Schimmel, Calvin</t>
  </si>
  <si>
    <t>Stephenson, Cale</t>
  </si>
  <si>
    <t>Stephenson, Callum</t>
  </si>
  <si>
    <t>Tuks Gagnon, Adelyn</t>
  </si>
  <si>
    <t>Section scores above are linked. Enter question scores below; the source does not contain question-level scores.</t>
  </si>
  <si>
    <t>Configured items</t>
  </si>
  <si>
    <t>Total maximum</t>
  </si>
  <si>
    <t>Complete students</t>
  </si>
  <si>
    <t>Question setup</t>
  </si>
  <si>
    <t>Question analysis</t>
  </si>
  <si>
    <t>A-MC1</t>
  </si>
  <si>
    <t>A-MC2</t>
  </si>
  <si>
    <t>A-MC3</t>
  </si>
  <si>
    <t>A-MC4</t>
  </si>
  <si>
    <t>A-MC5</t>
  </si>
  <si>
    <t>A-MC6</t>
  </si>
  <si>
    <t>A-MC7</t>
  </si>
  <si>
    <t>A-MC8</t>
  </si>
  <si>
    <t>A-MC9</t>
  </si>
  <si>
    <t>A-MC10</t>
  </si>
  <si>
    <t>A-MC11</t>
  </si>
  <si>
    <t>A-MC12</t>
  </si>
  <si>
    <t>A-MC13</t>
  </si>
  <si>
    <t>A-MC14</t>
  </si>
  <si>
    <t>A-MC15</t>
  </si>
  <si>
    <t>A-MC16</t>
  </si>
  <si>
    <t>A-MC17</t>
  </si>
  <si>
    <t>A-NR1</t>
  </si>
  <si>
    <t>A-NR2</t>
  </si>
  <si>
    <t>A-NR3</t>
  </si>
  <si>
    <t>B-MC1</t>
  </si>
  <si>
    <t>B-MC2</t>
  </si>
  <si>
    <t>B-MC3</t>
  </si>
  <si>
    <t>B-MC4</t>
  </si>
  <si>
    <t>B-MC5</t>
  </si>
  <si>
    <t>B-MC6</t>
  </si>
  <si>
    <t>B-MC7</t>
  </si>
  <si>
    <t>B-MC8</t>
  </si>
  <si>
    <t>B-MC9</t>
  </si>
  <si>
    <t>B-NR1</t>
  </si>
  <si>
    <t>B-NR2</t>
  </si>
  <si>
    <t>B-NR3</t>
  </si>
  <si>
    <t>B-WR1</t>
  </si>
  <si>
    <t>B-WR2</t>
  </si>
  <si>
    <t>B-WR3</t>
  </si>
  <si>
    <t>B-WR4</t>
  </si>
  <si>
    <t>Maximum points (input)</t>
  </si>
  <si>
    <t>Response type</t>
  </si>
  <si>
    <t>MC</t>
  </si>
  <si>
    <t>NR</t>
  </si>
  <si>
    <t>WR</t>
  </si>
  <si>
    <t>Facility (mean / max) - Percent Correct</t>
  </si>
  <si>
    <t>Full-credit count</t>
  </si>
  <si>
    <t>Partial-credit count</t>
  </si>
  <si>
    <t>Zero-credit count</t>
  </si>
  <si>
    <t>Ungraded students</t>
  </si>
  <si>
    <t>Score SD (sample)</t>
  </si>
  <si>
    <t>Item–rest correlation - Percent Upper Group Correct</t>
  </si>
  <si>
    <t>Invalid entries</t>
  </si>
  <si>
    <t>Status</t>
  </si>
  <si>
    <t>Conclusion</t>
  </si>
  <si>
    <t>Keep</t>
  </si>
  <si>
    <t>Remove</t>
  </si>
  <si>
    <t>Maybe</t>
  </si>
  <si>
    <t>Score entry (inputs)</t>
  </si>
  <si>
    <t>Student number</t>
  </si>
  <si>
    <t>Student name</t>
  </si>
  <si>
    <t>Complete total</t>
  </si>
  <si>
    <t>Invalid scores</t>
  </si>
  <si>
    <t>How to use</t>
  </si>
  <si>
    <t>1. Part A: 17 MC + 3 NR. Part B: 9 MC + 3 NR + 4 WR. Set each item’s positive maximum in C13:AL13. Rename labels if needed.</t>
  </si>
  <si>
    <t>2. Enter earned points in C29:AL78, including decimals. Use 0 for no credit; leave ungraded scores blank.</t>
  </si>
  <si>
    <t>3. The first 20 students link to the class list. Add student numbers and names in A49:B78 for extra students.</t>
  </si>
  <si>
    <t>4. Invalid entries include text, negative scores, points above maximum, scores without maxima, and scores without a student number.</t>
  </si>
  <si>
    <t>Facility = mean points / maximum. Higher values mean easier items. Counts include only students with a student number.</t>
  </si>
  <si>
    <t>Item–rest correlation uses students scored on all 36 items and correlates item points with the total excluding that item.</t>
  </si>
  <si>
    <t>Correlation requires 3+ complete students. n.a. means no score variation. Interpret small samples cautiously.</t>
  </si>
  <si>
    <t>Student totals require all 36 maxima and valid scores. Do not sort the score grid independently of its linked student list.</t>
  </si>
  <si>
    <t>Method reference: https://www.washington.edu/assessment/scanning-scoring/scoring/reports/item-analysis/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</si>
</sst>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Times New Roman"/>
    </font>
    <font>
      <b/>
      <color theme="1"/>
      <name val="Arial"/>
      <scheme val="minor"/>
    </font>
    <font>
      <b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</fills>
  <borders count="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horizontal="left" readingOrder="0"/>
    </xf>
    <xf borderId="0" fillId="0" fontId="2" numFmtId="10" xfId="0" applyAlignment="1" applyFont="1" applyNumberFormat="1">
      <alignment horizontal="left"/>
    </xf>
    <xf borderId="0" fillId="0" fontId="1" numFmtId="0" xfId="0" applyFont="1"/>
    <xf borderId="0" fillId="0" fontId="4" numFmtId="0" xfId="0" applyAlignment="1" applyFont="1">
      <alignment horizontal="left"/>
    </xf>
    <xf borderId="0" fillId="0" fontId="1" numFmtId="10" xfId="0" applyFont="1" applyNumberFormat="1"/>
    <xf borderId="1" fillId="0" fontId="4" numFmtId="0" xfId="0" applyAlignment="1" applyBorder="1" applyFont="1">
      <alignment horizontal="left" readingOrder="0"/>
    </xf>
    <xf borderId="0" fillId="0" fontId="1" numFmtId="10" xfId="0" applyAlignment="1" applyFont="1" applyNumberFormat="1">
      <alignment horizontal="left"/>
    </xf>
    <xf borderId="2" fillId="0" fontId="4" numFmtId="0" xfId="0" applyAlignment="1" applyBorder="1" applyFont="1">
      <alignment horizontal="left" readingOrder="0"/>
    </xf>
    <xf borderId="3" fillId="0" fontId="4" numFmtId="0" xfId="0" applyAlignment="1" applyBorder="1" applyFont="1">
      <alignment horizontal="left" readingOrder="0"/>
    </xf>
    <xf borderId="4" fillId="0" fontId="2" numFmtId="0" xfId="0" applyAlignment="1" applyBorder="1" applyFont="1">
      <alignment horizontal="left" readingOrder="0"/>
    </xf>
    <xf borderId="0" fillId="0" fontId="2" numFmtId="2" xfId="0" applyAlignment="1" applyFont="1" applyNumberFormat="1">
      <alignment horizontal="left"/>
    </xf>
    <xf borderId="5" fillId="0" fontId="2" numFmtId="0" xfId="0" applyAlignment="1" applyBorder="1" applyFont="1">
      <alignment horizontal="left"/>
    </xf>
    <xf borderId="6" fillId="0" fontId="2" numFmtId="0" xfId="0" applyAlignment="1" applyBorder="1" applyFont="1">
      <alignment horizontal="left" readingOrder="0"/>
    </xf>
    <xf borderId="7" fillId="0" fontId="2" numFmtId="0" xfId="0" applyAlignment="1" applyBorder="1" applyFont="1">
      <alignment horizontal="left" readingOrder="0"/>
    </xf>
    <xf borderId="7" fillId="0" fontId="2" numFmtId="0" xfId="0" applyAlignment="1" applyBorder="1" applyFont="1">
      <alignment horizontal="left"/>
    </xf>
    <xf borderId="7" fillId="0" fontId="2" numFmtId="2" xfId="0" applyAlignment="1" applyBorder="1" applyFont="1" applyNumberFormat="1">
      <alignment horizontal="left"/>
    </xf>
    <xf borderId="7" fillId="0" fontId="2" numFmtId="10" xfId="0" applyAlignment="1" applyBorder="1" applyFont="1" applyNumberFormat="1">
      <alignment horizontal="left"/>
    </xf>
    <xf borderId="8" fillId="0" fontId="2" numFmtId="0" xfId="0" applyAlignment="1" applyBorder="1" applyFont="1">
      <alignment horizontal="left"/>
    </xf>
    <xf borderId="2" fillId="0" fontId="2" numFmtId="0" xfId="0" applyAlignment="1" applyBorder="1" applyFont="1">
      <alignment horizontal="left"/>
    </xf>
    <xf borderId="2" fillId="0" fontId="2" numFmtId="0" xfId="0" applyAlignment="1" applyBorder="1" applyFont="1">
      <alignment horizontal="left" readingOrder="0"/>
    </xf>
    <xf borderId="3" fillId="0" fontId="2" numFmtId="0" xfId="0" applyAlignment="1" applyBorder="1" applyFont="1">
      <alignment horizontal="left"/>
    </xf>
    <xf borderId="6" fillId="0" fontId="4" numFmtId="0" xfId="0" applyAlignment="1" applyBorder="1" applyFont="1">
      <alignment horizontal="left" readingOrder="0"/>
    </xf>
    <xf borderId="2" fillId="0" fontId="4" numFmtId="0" xfId="0" applyAlignment="1" applyBorder="1" applyFont="1">
      <alignment horizontal="left"/>
    </xf>
    <xf borderId="2" fillId="2" fontId="4" numFmtId="0" xfId="0" applyAlignment="1" applyBorder="1" applyFill="1" applyFont="1">
      <alignment horizontal="left" readingOrder="0"/>
    </xf>
    <xf borderId="2" fillId="3" fontId="4" numFmtId="0" xfId="0" applyAlignment="1" applyBorder="1" applyFill="1" applyFont="1">
      <alignment horizontal="left" readingOrder="0"/>
    </xf>
    <xf borderId="0" fillId="0" fontId="3" numFmtId="0" xfId="0" applyFont="1"/>
    <xf borderId="0" fillId="0" fontId="3" numFmtId="10" xfId="0" applyFont="1" applyNumberFormat="1"/>
    <xf borderId="4" fillId="0" fontId="4" numFmtId="0" xfId="0" applyAlignment="1" applyBorder="1" applyFont="1">
      <alignment horizontal="left" readingOrder="0"/>
    </xf>
    <xf borderId="0" fillId="2" fontId="2" numFmtId="0" xfId="0" applyAlignment="1" applyFill="1" applyFont="1">
      <alignment horizontal="left" readingOrder="0"/>
    </xf>
    <xf borderId="0" fillId="3" fontId="2" numFmtId="0" xfId="0" applyAlignment="1" applyFill="1" applyFont="1">
      <alignment horizontal="left" readingOrder="0"/>
    </xf>
    <xf borderId="5" fillId="0" fontId="2" numFmtId="0" xfId="0" applyAlignment="1" applyBorder="1" applyFont="1">
      <alignment horizontal="left" readingOrder="0"/>
    </xf>
    <xf borderId="0" fillId="2" fontId="2" numFmtId="0" xfId="0" applyAlignment="1" applyFill="1" applyFont="1">
      <alignment horizontal="left"/>
    </xf>
    <xf borderId="0" fillId="3" fontId="2" numFmtId="0" xfId="0" applyAlignment="1" applyFill="1" applyFont="1">
      <alignment horizontal="left"/>
    </xf>
    <xf borderId="4" fillId="0" fontId="4" numFmtId="2" xfId="0" applyAlignment="1" applyBorder="1" applyFont="1" applyNumberFormat="1">
      <alignment horizontal="left" readingOrder="0"/>
    </xf>
    <xf borderId="0" fillId="2" fontId="2" numFmtId="2" xfId="0" applyAlignment="1" applyFill="1" applyFont="1" applyNumberFormat="1">
      <alignment horizontal="left"/>
    </xf>
    <xf borderId="0" fillId="3" fontId="2" numFmtId="2" xfId="0" applyAlignment="1" applyFill="1" applyFont="1" applyNumberFormat="1">
      <alignment horizontal="left"/>
    </xf>
    <xf borderId="5" fillId="0" fontId="2" numFmtId="2" xfId="0" applyAlignment="1" applyBorder="1" applyFont="1" applyNumberFormat="1">
      <alignment horizontal="left"/>
    </xf>
    <xf borderId="0" fillId="0" fontId="1" numFmtId="2" xfId="0" applyFont="1" applyNumberFormat="1"/>
    <xf borderId="0" fillId="2" fontId="2" numFmtId="10" xfId="0" applyAlignment="1" applyFill="1" applyFont="1" applyNumberFormat="1">
      <alignment horizontal="left"/>
    </xf>
    <xf borderId="0" fillId="3" fontId="2" numFmtId="10" xfId="0" applyAlignment="1" applyFill="1" applyFont="1" applyNumberFormat="1">
      <alignment horizontal="left"/>
    </xf>
    <xf borderId="5" fillId="0" fontId="2" numFmtId="10" xfId="0" applyAlignment="1" applyBorder="1" applyFont="1" applyNumberFormat="1">
      <alignment horizontal="left"/>
    </xf>
    <xf borderId="0" fillId="0" fontId="4" numFmtId="0" xfId="0" applyAlignment="1" applyFont="1">
      <alignment horizontal="left" readingOrder="0"/>
    </xf>
    <xf borderId="7" fillId="0" fontId="4" numFmtId="0" xfId="0" applyAlignment="1" applyBorder="1" applyFont="1">
      <alignment horizontal="left" readingOrder="0"/>
    </xf>
    <xf borderId="7" fillId="2" fontId="2" numFmtId="0" xfId="0" applyAlignment="1" applyBorder="1" applyFill="1" applyFont="1">
      <alignment horizontal="left" readingOrder="0"/>
    </xf>
    <xf borderId="7" fillId="3" fontId="2" numFmtId="0" xfId="0" applyAlignment="1" applyBorder="1" applyFill="1" applyFont="1">
      <alignment horizontal="left" readingOrder="0"/>
    </xf>
    <xf borderId="2" fillId="0" fontId="4" numFmtId="10" xfId="0" applyAlignment="1" applyBorder="1" applyFont="1" applyNumberFormat="1">
      <alignment horizontal="left" readingOrder="0"/>
    </xf>
    <xf borderId="4" fillId="0" fontId="2" numFmtId="0" xfId="0" applyAlignment="1" applyBorder="1" applyFont="1">
      <alignment horizontal="left"/>
    </xf>
    <xf borderId="0" fillId="0" fontId="4" numFmtId="10" xfId="0" applyAlignment="1" applyFont="1" applyNumberFormat="1">
      <alignment horizontal="left"/>
    </xf>
    <xf borderId="4" fillId="4" fontId="2" numFmtId="0" xfId="0" applyAlignment="1" applyBorder="1" applyFill="1" applyFont="1">
      <alignment horizontal="left"/>
    </xf>
    <xf borderId="0" fillId="4" fontId="2" numFmtId="0" xfId="0" applyAlignment="1" applyFill="1" applyFont="1">
      <alignment horizontal="left"/>
    </xf>
    <xf borderId="0" fillId="4" fontId="4" numFmtId="10" xfId="0" applyAlignment="1" applyFill="1" applyFont="1" applyNumberFormat="1">
      <alignment horizontal="left"/>
    </xf>
    <xf borderId="5" fillId="4" fontId="2" numFmtId="0" xfId="0" applyAlignment="1" applyBorder="1" applyFill="1" applyFont="1">
      <alignment horizontal="left"/>
    </xf>
    <xf borderId="6" fillId="0" fontId="2" numFmtId="0" xfId="0" applyAlignment="1" applyBorder="1" applyFont="1">
      <alignment horizontal="left"/>
    </xf>
    <xf borderId="7" fillId="0" fontId="4" numFmtId="10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8" max="9" width="16.25"/>
  </cols>
  <sheetData>
    <row r="1">
      <c r="A1" s="1" t="s">
        <v>0</v>
      </c>
      <c r="B1" s="1" t="s">
        <v>2</v>
      </c>
    </row>
    <row r="2">
      <c r="A2" s="1" t="s">
        <v>3</v>
      </c>
      <c r="B2" s="1" t="s">
        <v>4</v>
      </c>
    </row>
    <row r="3">
      <c r="A3" s="1" t="s">
        <v>5</v>
      </c>
      <c r="B3" s="1" t="s">
        <v>6</v>
      </c>
    </row>
    <row r="4">
      <c r="A4" s="1" t="s">
        <v>7</v>
      </c>
      <c r="B4" s="4">
        <v>46295.0</v>
      </c>
    </row>
    <row r="5">
      <c r="A5" s="1" t="s">
        <v>8</v>
      </c>
      <c r="B5" s="1">
        <v>48.0</v>
      </c>
    </row>
    <row r="6">
      <c r="A6" s="1" t="s">
        <v>9</v>
      </c>
      <c r="B6" s="1">
        <v>0.0</v>
      </c>
    </row>
    <row r="7">
      <c r="A7" s="1" t="s">
        <v>10</v>
      </c>
      <c r="B7" s="1" t="s">
        <v>11</v>
      </c>
    </row>
    <row r="8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H8" s="5" t="s">
        <v>18</v>
      </c>
      <c r="I8" s="5" t="s">
        <v>19</v>
      </c>
    </row>
    <row r="9">
      <c r="A9" s="1">
        <v>26281.0</v>
      </c>
      <c r="B9" s="1" t="s">
        <v>20</v>
      </c>
      <c r="C9" s="7">
        <f t="shared" ref="C9:C16" si="1">D9+E9</f>
        <v>30</v>
      </c>
      <c r="D9" s="1">
        <v>17.0</v>
      </c>
      <c r="E9" s="1">
        <v>13.0</v>
      </c>
      <c r="F9" s="9">
        <f t="shared" ref="F9:F28" si="2">C9/48</f>
        <v>0.625</v>
      </c>
      <c r="H9" s="11">
        <f>average(D9:D28)/23</f>
        <v>0.5835240275</v>
      </c>
      <c r="I9" s="11">
        <f>AVERAGE(E9:E28)/25</f>
        <v>0.6557894737</v>
      </c>
    </row>
    <row r="10">
      <c r="A10" s="1">
        <v>26285.0</v>
      </c>
      <c r="B10" s="1" t="s">
        <v>29</v>
      </c>
      <c r="C10" s="7">
        <f t="shared" si="1"/>
        <v>28.5</v>
      </c>
      <c r="D10" s="1">
        <v>11.0</v>
      </c>
      <c r="E10" s="1">
        <v>17.5</v>
      </c>
      <c r="F10" s="9">
        <f t="shared" si="2"/>
        <v>0.59375</v>
      </c>
    </row>
    <row r="11">
      <c r="A11" s="1">
        <v>37905.0</v>
      </c>
      <c r="B11" s="1" t="s">
        <v>30</v>
      </c>
      <c r="C11" s="7">
        <f t="shared" si="1"/>
        <v>12</v>
      </c>
      <c r="D11" s="1">
        <v>6.0</v>
      </c>
      <c r="E11" s="1">
        <v>6.0</v>
      </c>
      <c r="F11" s="9">
        <f t="shared" si="2"/>
        <v>0.25</v>
      </c>
    </row>
    <row r="12">
      <c r="A12" s="1">
        <v>28574.0</v>
      </c>
      <c r="B12" s="1" t="s">
        <v>31</v>
      </c>
      <c r="C12" s="7">
        <f t="shared" si="1"/>
        <v>22</v>
      </c>
      <c r="D12" s="1">
        <v>7.0</v>
      </c>
      <c r="E12" s="1">
        <v>15.0</v>
      </c>
      <c r="F12" s="9">
        <f t="shared" si="2"/>
        <v>0.4583333333</v>
      </c>
    </row>
    <row r="13">
      <c r="A13" s="1">
        <v>26288.0</v>
      </c>
      <c r="B13" s="1" t="s">
        <v>32</v>
      </c>
      <c r="C13" s="7">
        <f t="shared" si="1"/>
        <v>39</v>
      </c>
      <c r="D13" s="1">
        <v>18.0</v>
      </c>
      <c r="E13" s="1">
        <v>21.0</v>
      </c>
      <c r="F13" s="9">
        <f t="shared" si="2"/>
        <v>0.8125</v>
      </c>
    </row>
    <row r="14">
      <c r="A14" s="1">
        <v>26289.0</v>
      </c>
      <c r="B14" s="1" t="s">
        <v>33</v>
      </c>
      <c r="C14" s="7">
        <f t="shared" si="1"/>
        <v>32</v>
      </c>
      <c r="D14" s="1">
        <v>14.0</v>
      </c>
      <c r="E14" s="1">
        <v>18.0</v>
      </c>
      <c r="F14" s="9">
        <f t="shared" si="2"/>
        <v>0.6666666667</v>
      </c>
    </row>
    <row r="15">
      <c r="A15" s="1">
        <v>36672.0</v>
      </c>
      <c r="B15" s="1" t="s">
        <v>34</v>
      </c>
      <c r="C15" s="7">
        <f t="shared" si="1"/>
        <v>32.5</v>
      </c>
      <c r="D15" s="1">
        <v>17.0</v>
      </c>
      <c r="E15" s="1">
        <v>15.5</v>
      </c>
      <c r="F15" s="9">
        <f t="shared" si="2"/>
        <v>0.6770833333</v>
      </c>
    </row>
    <row r="16">
      <c r="A16" s="1">
        <v>24820.0</v>
      </c>
      <c r="B16" s="1" t="s">
        <v>35</v>
      </c>
      <c r="C16" s="7">
        <f t="shared" si="1"/>
        <v>22.5</v>
      </c>
      <c r="D16" s="1">
        <v>8.0</v>
      </c>
      <c r="E16" s="1">
        <v>14.5</v>
      </c>
      <c r="F16" s="9">
        <f t="shared" si="2"/>
        <v>0.46875</v>
      </c>
    </row>
    <row r="17">
      <c r="A17" s="1">
        <v>30685.0</v>
      </c>
      <c r="B17" s="1" t="s">
        <v>36</v>
      </c>
      <c r="C17" s="7" t="str">
        <f>IF(D17+E17=0, "", D17+E17)</f>
        <v/>
      </c>
      <c r="F17" s="9">
        <f t="shared" si="2"/>
        <v>0</v>
      </c>
    </row>
    <row r="18">
      <c r="A18" s="1">
        <v>26293.0</v>
      </c>
      <c r="B18" s="1" t="s">
        <v>37</v>
      </c>
      <c r="C18" s="7">
        <f>D18+E18</f>
        <v>33.5</v>
      </c>
      <c r="D18" s="1">
        <v>15.0</v>
      </c>
      <c r="E18" s="1">
        <v>18.5</v>
      </c>
      <c r="F18" s="9">
        <f t="shared" si="2"/>
        <v>0.6979166667</v>
      </c>
    </row>
    <row r="19">
      <c r="A19" s="1">
        <v>26521.0</v>
      </c>
      <c r="B19" s="1" t="s">
        <v>38</v>
      </c>
      <c r="C19" s="1">
        <v>21.0</v>
      </c>
      <c r="D19" s="1">
        <v>11.0</v>
      </c>
      <c r="E19" s="1">
        <v>11.0</v>
      </c>
      <c r="F19" s="9">
        <f t="shared" si="2"/>
        <v>0.4375</v>
      </c>
    </row>
    <row r="20">
      <c r="A20" s="1">
        <v>28059.0</v>
      </c>
      <c r="B20" s="1" t="s">
        <v>39</v>
      </c>
      <c r="C20" s="7">
        <f t="shared" ref="C20:C28" si="3">D20+E20</f>
        <v>24</v>
      </c>
      <c r="D20" s="1">
        <v>9.0</v>
      </c>
      <c r="E20" s="1">
        <v>15.0</v>
      </c>
      <c r="F20" s="9">
        <f t="shared" si="2"/>
        <v>0.5</v>
      </c>
    </row>
    <row r="21">
      <c r="A21" s="1">
        <v>26657.0</v>
      </c>
      <c r="B21" s="1" t="s">
        <v>40</v>
      </c>
      <c r="C21" s="7">
        <f t="shared" si="3"/>
        <v>24</v>
      </c>
      <c r="D21" s="1">
        <v>15.0</v>
      </c>
      <c r="E21" s="1">
        <v>9.0</v>
      </c>
      <c r="F21" s="9">
        <f t="shared" si="2"/>
        <v>0.5</v>
      </c>
    </row>
    <row r="22">
      <c r="A22" s="1">
        <v>26297.0</v>
      </c>
      <c r="B22" s="1" t="s">
        <v>41</v>
      </c>
      <c r="C22" s="7">
        <f t="shared" si="3"/>
        <v>46</v>
      </c>
      <c r="D22" s="1">
        <v>21.0</v>
      </c>
      <c r="E22" s="1">
        <v>25.0</v>
      </c>
      <c r="F22" s="9">
        <f t="shared" si="2"/>
        <v>0.9583333333</v>
      </c>
    </row>
    <row r="23">
      <c r="A23" s="1">
        <v>26298.0</v>
      </c>
      <c r="B23" s="1" t="s">
        <v>42</v>
      </c>
      <c r="C23" s="7">
        <f t="shared" si="3"/>
        <v>42.5</v>
      </c>
      <c r="D23" s="1">
        <v>20.0</v>
      </c>
      <c r="E23" s="1">
        <v>22.5</v>
      </c>
      <c r="F23" s="9">
        <f t="shared" si="2"/>
        <v>0.8854166667</v>
      </c>
    </row>
    <row r="24">
      <c r="A24" s="1">
        <v>26300.0</v>
      </c>
      <c r="B24" s="1" t="s">
        <v>43</v>
      </c>
      <c r="C24" s="7">
        <f t="shared" si="3"/>
        <v>41</v>
      </c>
      <c r="D24" s="1">
        <v>18.0</v>
      </c>
      <c r="E24" s="1">
        <v>23.0</v>
      </c>
      <c r="F24" s="9">
        <f t="shared" si="2"/>
        <v>0.8541666667</v>
      </c>
    </row>
    <row r="25">
      <c r="A25" s="1">
        <v>26301.0</v>
      </c>
      <c r="B25" s="1" t="s">
        <v>44</v>
      </c>
      <c r="C25" s="7">
        <f t="shared" si="3"/>
        <v>23</v>
      </c>
      <c r="D25" s="1">
        <v>10.0</v>
      </c>
      <c r="E25" s="1">
        <v>13.0</v>
      </c>
      <c r="F25" s="9">
        <f t="shared" si="2"/>
        <v>0.4791666667</v>
      </c>
    </row>
    <row r="26">
      <c r="A26" s="1">
        <v>26304.0</v>
      </c>
      <c r="B26" s="1" t="s">
        <v>45</v>
      </c>
      <c r="C26" s="7">
        <f t="shared" si="3"/>
        <v>40.5</v>
      </c>
      <c r="D26" s="1">
        <v>16.0</v>
      </c>
      <c r="E26" s="1">
        <v>24.5</v>
      </c>
      <c r="F26" s="9">
        <f t="shared" si="2"/>
        <v>0.84375</v>
      </c>
    </row>
    <row r="27">
      <c r="A27" s="1">
        <v>26305.0</v>
      </c>
      <c r="B27" s="1" t="s">
        <v>46</v>
      </c>
      <c r="C27" s="7">
        <f t="shared" si="3"/>
        <v>42</v>
      </c>
      <c r="D27" s="1">
        <v>18.0</v>
      </c>
      <c r="E27" s="1">
        <v>24.0</v>
      </c>
      <c r="F27" s="9">
        <f t="shared" si="2"/>
        <v>0.875</v>
      </c>
    </row>
    <row r="28">
      <c r="A28" s="1">
        <v>38395.0</v>
      </c>
      <c r="B28" s="1" t="s">
        <v>47</v>
      </c>
      <c r="C28" s="7">
        <f t="shared" si="3"/>
        <v>9.5</v>
      </c>
      <c r="D28" s="1">
        <v>4.0</v>
      </c>
      <c r="E28" s="1">
        <v>5.5</v>
      </c>
      <c r="F28" s="9">
        <f t="shared" si="2"/>
        <v>0.1979166667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  <col customWidth="1" min="2" max="2" width="25.13"/>
    <col customWidth="1" min="5" max="5" width="18.13"/>
  </cols>
  <sheetData>
    <row r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6"/>
      <c r="AO1" s="3"/>
    </row>
    <row r="2">
      <c r="A2" s="8" t="str">
        <f>ExponentsPractic_pst!B3</f>
        <v>Exponents Practice Quiz (Part A/B)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6"/>
      <c r="AO2" s="3"/>
    </row>
    <row r="3">
      <c r="A3" s="2" t="s">
        <v>21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6"/>
      <c r="AO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6"/>
      <c r="AO4" s="3"/>
    </row>
    <row r="5">
      <c r="A5" s="10" t="s">
        <v>22</v>
      </c>
      <c r="B5" s="12" t="s">
        <v>23</v>
      </c>
      <c r="C5" s="12" t="s">
        <v>24</v>
      </c>
      <c r="D5" s="12" t="s">
        <v>25</v>
      </c>
      <c r="E5" s="12" t="s">
        <v>26</v>
      </c>
      <c r="F5" s="12" t="s">
        <v>27</v>
      </c>
      <c r="G5" s="13" t="s">
        <v>28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6"/>
      <c r="AO5" s="3"/>
    </row>
    <row r="6">
      <c r="A6" s="14" t="s">
        <v>15</v>
      </c>
      <c r="B6" s="2">
        <v>23.0</v>
      </c>
      <c r="C6" s="3">
        <f>COUNT(ExponentsPractic_pst!D9:D28)</f>
        <v>19</v>
      </c>
      <c r="D6" s="15">
        <f>IF(C6=0,"",AVERAGE(ExponentsPractic_pst!D9:D28))</f>
        <v>13.42105263</v>
      </c>
      <c r="E6" s="6">
        <f t="shared" ref="E6:E7" si="1">IF(C6=0,"",D6/B6)</f>
        <v>0.5835240275</v>
      </c>
      <c r="F6" s="3">
        <f>SUM(C13:V13)</f>
        <v>23</v>
      </c>
      <c r="G6" s="16" t="str">
        <f>IF(COUNTIF(C13:V13,"&gt;0")&lt;20,"Set all 20 maxima",IF(F6=B6,"Matches","Review maxima"))</f>
        <v>Matches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6"/>
      <c r="AO6" s="3"/>
    </row>
    <row r="7">
      <c r="A7" s="17" t="s">
        <v>16</v>
      </c>
      <c r="B7" s="18">
        <v>25.0</v>
      </c>
      <c r="C7" s="19">
        <f>COUNT(ExponentsPractic_pst!E9:E28)</f>
        <v>19</v>
      </c>
      <c r="D7" s="20">
        <f>IF(C7=0,"",AVERAGE(ExponentsPractic_pst!E9:E28))</f>
        <v>16.39473684</v>
      </c>
      <c r="E7" s="21">
        <f t="shared" si="1"/>
        <v>0.6557894737</v>
      </c>
      <c r="F7" s="19">
        <f>SUM(W13:AL13)</f>
        <v>25</v>
      </c>
      <c r="G7" s="22" t="str">
        <f>IF(COUNTIF(W13:AL13,"&gt;0")&lt;16,"Set all 16 maxima",IF(F7=B7,"Matches","Review maxima"))</f>
        <v>Matches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6"/>
      <c r="AO7" s="3"/>
    </row>
    <row r="8">
      <c r="A8" s="2" t="s">
        <v>48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6"/>
      <c r="AO8" s="3"/>
    </row>
    <row r="9">
      <c r="A9" s="10" t="s">
        <v>49</v>
      </c>
      <c r="B9" s="23">
        <f>COUNTIF(C13:AL13,"&gt;0")</f>
        <v>36</v>
      </c>
      <c r="C9" s="24" t="s">
        <v>50</v>
      </c>
      <c r="D9" s="23">
        <f>SUM(C13:AL13)</f>
        <v>48</v>
      </c>
      <c r="E9" s="24" t="s">
        <v>51</v>
      </c>
      <c r="F9" s="25">
        <f>COUNT(AM30:AM79)</f>
        <v>19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6"/>
      <c r="AO9" s="3"/>
    </row>
    <row r="10">
      <c r="A10" s="26" t="s">
        <v>52</v>
      </c>
      <c r="B10" s="19" t="str">
        <f>IF(B9&lt;36,"Set all 36 maxima",IF(AND(F6=B6,F7=B7),"Maxima match both parts","Review section maxima"))</f>
        <v>Maxima match both parts</v>
      </c>
      <c r="C10" s="19"/>
      <c r="D10" s="19"/>
      <c r="E10" s="19"/>
      <c r="F10" s="2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6"/>
      <c r="AO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6"/>
      <c r="AO11" s="3"/>
    </row>
    <row r="12">
      <c r="A12" s="10" t="s">
        <v>53</v>
      </c>
      <c r="B12" s="27"/>
      <c r="C12" s="12" t="s">
        <v>54</v>
      </c>
      <c r="D12" s="28" t="s">
        <v>55</v>
      </c>
      <c r="E12" s="12" t="s">
        <v>56</v>
      </c>
      <c r="F12" s="12" t="s">
        <v>57</v>
      </c>
      <c r="G12" s="12" t="s">
        <v>58</v>
      </c>
      <c r="H12" s="12" t="s">
        <v>59</v>
      </c>
      <c r="I12" s="12" t="s">
        <v>60</v>
      </c>
      <c r="J12" s="12" t="s">
        <v>61</v>
      </c>
      <c r="K12" s="12" t="s">
        <v>62</v>
      </c>
      <c r="L12" s="12" t="s">
        <v>63</v>
      </c>
      <c r="M12" s="12" t="s">
        <v>64</v>
      </c>
      <c r="N12" s="12" t="s">
        <v>65</v>
      </c>
      <c r="O12" s="12" t="s">
        <v>66</v>
      </c>
      <c r="P12" s="12" t="s">
        <v>67</v>
      </c>
      <c r="Q12" s="12" t="s">
        <v>68</v>
      </c>
      <c r="R12" s="29" t="s">
        <v>69</v>
      </c>
      <c r="S12" s="12" t="s">
        <v>70</v>
      </c>
      <c r="T12" s="12" t="s">
        <v>71</v>
      </c>
      <c r="U12" s="12" t="s">
        <v>72</v>
      </c>
      <c r="V12" s="29" t="s">
        <v>73</v>
      </c>
      <c r="W12" s="12" t="s">
        <v>74</v>
      </c>
      <c r="X12" s="12" t="s">
        <v>75</v>
      </c>
      <c r="Y12" s="12" t="s">
        <v>76</v>
      </c>
      <c r="Z12" s="12" t="s">
        <v>77</v>
      </c>
      <c r="AA12" s="12" t="s">
        <v>78</v>
      </c>
      <c r="AB12" s="12" t="s">
        <v>79</v>
      </c>
      <c r="AC12" s="12" t="s">
        <v>80</v>
      </c>
      <c r="AD12" s="12" t="s">
        <v>81</v>
      </c>
      <c r="AE12" s="12" t="s">
        <v>82</v>
      </c>
      <c r="AF12" s="12" t="s">
        <v>83</v>
      </c>
      <c r="AG12" s="12" t="s">
        <v>84</v>
      </c>
      <c r="AH12" s="12" t="s">
        <v>85</v>
      </c>
      <c r="AI12" s="12" t="s">
        <v>86</v>
      </c>
      <c r="AJ12" s="12" t="s">
        <v>87</v>
      </c>
      <c r="AK12" s="12" t="s">
        <v>88</v>
      </c>
      <c r="AL12" s="13" t="s">
        <v>89</v>
      </c>
      <c r="AM12" s="30"/>
      <c r="AN12" s="31"/>
      <c r="AO12" s="30"/>
    </row>
    <row r="13">
      <c r="A13" s="32" t="s">
        <v>90</v>
      </c>
      <c r="B13" s="3"/>
      <c r="C13" s="2">
        <v>1.0</v>
      </c>
      <c r="D13" s="33">
        <v>1.0</v>
      </c>
      <c r="E13" s="2">
        <v>1.0</v>
      </c>
      <c r="F13" s="2">
        <v>1.0</v>
      </c>
      <c r="G13" s="2">
        <v>1.0</v>
      </c>
      <c r="H13" s="2">
        <v>1.0</v>
      </c>
      <c r="I13" s="2">
        <v>1.0</v>
      </c>
      <c r="J13" s="2">
        <v>1.0</v>
      </c>
      <c r="K13" s="2">
        <v>1.0</v>
      </c>
      <c r="L13" s="2">
        <v>1.0</v>
      </c>
      <c r="M13" s="2">
        <v>1.0</v>
      </c>
      <c r="N13" s="2">
        <v>1.0</v>
      </c>
      <c r="O13" s="2">
        <v>1.0</v>
      </c>
      <c r="P13" s="2">
        <v>1.0</v>
      </c>
      <c r="Q13" s="2">
        <v>1.0</v>
      </c>
      <c r="R13" s="34">
        <v>1.0</v>
      </c>
      <c r="S13" s="2">
        <v>1.0</v>
      </c>
      <c r="T13" s="2">
        <v>2.0</v>
      </c>
      <c r="U13" s="2">
        <v>2.0</v>
      </c>
      <c r="V13" s="34">
        <v>2.0</v>
      </c>
      <c r="W13" s="2">
        <v>1.0</v>
      </c>
      <c r="X13" s="2">
        <v>1.0</v>
      </c>
      <c r="Y13" s="2">
        <v>1.0</v>
      </c>
      <c r="Z13" s="2">
        <v>1.0</v>
      </c>
      <c r="AA13" s="2">
        <v>1.0</v>
      </c>
      <c r="AB13" s="2">
        <v>1.0</v>
      </c>
      <c r="AC13" s="2">
        <v>1.0</v>
      </c>
      <c r="AD13" s="2">
        <v>1.0</v>
      </c>
      <c r="AE13" s="2">
        <v>1.0</v>
      </c>
      <c r="AF13" s="2">
        <v>3.0</v>
      </c>
      <c r="AG13" s="2">
        <v>2.0</v>
      </c>
      <c r="AH13" s="2">
        <v>3.0</v>
      </c>
      <c r="AI13" s="2">
        <v>1.0</v>
      </c>
      <c r="AJ13" s="2">
        <v>3.0</v>
      </c>
      <c r="AK13" s="2">
        <v>2.0</v>
      </c>
      <c r="AL13" s="35">
        <v>2.0</v>
      </c>
      <c r="AN13" s="9"/>
    </row>
    <row r="14">
      <c r="A14" s="32" t="s">
        <v>91</v>
      </c>
      <c r="B14" s="3"/>
      <c r="C14" s="2" t="s">
        <v>92</v>
      </c>
      <c r="D14" s="33" t="s">
        <v>92</v>
      </c>
      <c r="E14" s="2" t="s">
        <v>92</v>
      </c>
      <c r="F14" s="2" t="s">
        <v>92</v>
      </c>
      <c r="G14" s="2" t="s">
        <v>92</v>
      </c>
      <c r="H14" s="2" t="s">
        <v>92</v>
      </c>
      <c r="I14" s="2" t="s">
        <v>92</v>
      </c>
      <c r="J14" s="2" t="s">
        <v>92</v>
      </c>
      <c r="K14" s="2" t="s">
        <v>92</v>
      </c>
      <c r="L14" s="2" t="s">
        <v>92</v>
      </c>
      <c r="M14" s="2" t="s">
        <v>92</v>
      </c>
      <c r="N14" s="2" t="s">
        <v>92</v>
      </c>
      <c r="O14" s="2" t="s">
        <v>92</v>
      </c>
      <c r="P14" s="2" t="s">
        <v>92</v>
      </c>
      <c r="Q14" s="2" t="s">
        <v>92</v>
      </c>
      <c r="R14" s="34" t="s">
        <v>92</v>
      </c>
      <c r="S14" s="2" t="s">
        <v>92</v>
      </c>
      <c r="T14" s="2" t="s">
        <v>93</v>
      </c>
      <c r="U14" s="2" t="s">
        <v>93</v>
      </c>
      <c r="V14" s="34" t="s">
        <v>93</v>
      </c>
      <c r="W14" s="2" t="s">
        <v>92</v>
      </c>
      <c r="X14" s="2" t="s">
        <v>92</v>
      </c>
      <c r="Y14" s="2" t="s">
        <v>92</v>
      </c>
      <c r="Z14" s="2" t="s">
        <v>92</v>
      </c>
      <c r="AA14" s="2" t="s">
        <v>92</v>
      </c>
      <c r="AB14" s="2" t="s">
        <v>92</v>
      </c>
      <c r="AC14" s="2" t="s">
        <v>92</v>
      </c>
      <c r="AD14" s="2" t="s">
        <v>92</v>
      </c>
      <c r="AE14" s="2" t="s">
        <v>92</v>
      </c>
      <c r="AF14" s="2" t="s">
        <v>93</v>
      </c>
      <c r="AG14" s="2" t="s">
        <v>93</v>
      </c>
      <c r="AH14" s="2" t="s">
        <v>93</v>
      </c>
      <c r="AI14" s="2" t="s">
        <v>94</v>
      </c>
      <c r="AJ14" s="2" t="s">
        <v>94</v>
      </c>
      <c r="AK14" s="2" t="s">
        <v>94</v>
      </c>
      <c r="AL14" s="35" t="s">
        <v>94</v>
      </c>
      <c r="AN14" s="9"/>
    </row>
    <row r="15">
      <c r="A15" s="32" t="s">
        <v>24</v>
      </c>
      <c r="B15" s="3"/>
      <c r="C15" s="3">
        <f t="shared" ref="C15:AL15" si="2">IF(OR(NOT(ISNUMBER(C$13)),C$13&lt;=0,C$24&gt;0),"",COUNTIFS(C$30:C$79,"&gt;=0",C$30:C$79,"&lt;="&amp;C$13,C$30:C$79,"&lt;&gt;",$A$30:$A$79,"&lt;&gt;"))</f>
        <v>19</v>
      </c>
      <c r="D15" s="36">
        <f t="shared" si="2"/>
        <v>19</v>
      </c>
      <c r="E15" s="3">
        <f t="shared" si="2"/>
        <v>19</v>
      </c>
      <c r="F15" s="3">
        <f t="shared" si="2"/>
        <v>19</v>
      </c>
      <c r="G15" s="3">
        <f t="shared" si="2"/>
        <v>19</v>
      </c>
      <c r="H15" s="3">
        <f t="shared" si="2"/>
        <v>19</v>
      </c>
      <c r="I15" s="3">
        <f t="shared" si="2"/>
        <v>19</v>
      </c>
      <c r="J15" s="3">
        <f t="shared" si="2"/>
        <v>19</v>
      </c>
      <c r="K15" s="3">
        <f t="shared" si="2"/>
        <v>19</v>
      </c>
      <c r="L15" s="3">
        <f t="shared" si="2"/>
        <v>19</v>
      </c>
      <c r="M15" s="3">
        <f t="shared" si="2"/>
        <v>19</v>
      </c>
      <c r="N15" s="3">
        <f t="shared" si="2"/>
        <v>19</v>
      </c>
      <c r="O15" s="3">
        <f t="shared" si="2"/>
        <v>19</v>
      </c>
      <c r="P15" s="3">
        <f t="shared" si="2"/>
        <v>19</v>
      </c>
      <c r="Q15" s="3">
        <f t="shared" si="2"/>
        <v>19</v>
      </c>
      <c r="R15" s="37">
        <f t="shared" si="2"/>
        <v>19</v>
      </c>
      <c r="S15" s="3">
        <f t="shared" si="2"/>
        <v>19</v>
      </c>
      <c r="T15" s="3">
        <f t="shared" si="2"/>
        <v>19</v>
      </c>
      <c r="U15" s="3">
        <f t="shared" si="2"/>
        <v>19</v>
      </c>
      <c r="V15" s="37">
        <f t="shared" si="2"/>
        <v>19</v>
      </c>
      <c r="W15" s="3">
        <f t="shared" si="2"/>
        <v>19</v>
      </c>
      <c r="X15" s="3">
        <f t="shared" si="2"/>
        <v>19</v>
      </c>
      <c r="Y15" s="3">
        <f t="shared" si="2"/>
        <v>19</v>
      </c>
      <c r="Z15" s="3">
        <f t="shared" si="2"/>
        <v>19</v>
      </c>
      <c r="AA15" s="3">
        <f t="shared" si="2"/>
        <v>19</v>
      </c>
      <c r="AB15" s="3">
        <f t="shared" si="2"/>
        <v>19</v>
      </c>
      <c r="AC15" s="3">
        <f t="shared" si="2"/>
        <v>19</v>
      </c>
      <c r="AD15" s="3">
        <f t="shared" si="2"/>
        <v>19</v>
      </c>
      <c r="AE15" s="3">
        <f t="shared" si="2"/>
        <v>19</v>
      </c>
      <c r="AF15" s="3">
        <f t="shared" si="2"/>
        <v>19</v>
      </c>
      <c r="AG15" s="3">
        <f t="shared" si="2"/>
        <v>19</v>
      </c>
      <c r="AH15" s="3">
        <f t="shared" si="2"/>
        <v>19</v>
      </c>
      <c r="AI15" s="3">
        <f t="shared" si="2"/>
        <v>19</v>
      </c>
      <c r="AJ15" s="3">
        <f t="shared" si="2"/>
        <v>19</v>
      </c>
      <c r="AK15" s="3">
        <f t="shared" si="2"/>
        <v>19</v>
      </c>
      <c r="AL15" s="16">
        <f t="shared" si="2"/>
        <v>19</v>
      </c>
      <c r="AN15" s="9"/>
    </row>
    <row r="16">
      <c r="A16" s="38" t="s">
        <v>25</v>
      </c>
      <c r="B16" s="15"/>
      <c r="C16" s="15">
        <f t="shared" ref="C16:AL16" si="3">IF(OR(OR(NOT(ISNUMBER(C$13)),C$13&lt;=0,C$24&gt;0),C$15=0),"",AVERAGEIFS(C$30:C$79,$A$30:$A$79,"&lt;&gt;",C$30:C$79,"&gt;=0",C$30:C$79,"&lt;="&amp;C$13))</f>
        <v>0.7894736842</v>
      </c>
      <c r="D16" s="39">
        <f t="shared" si="3"/>
        <v>0.5263157895</v>
      </c>
      <c r="E16" s="15">
        <f t="shared" si="3"/>
        <v>0.7368421053</v>
      </c>
      <c r="F16" s="15">
        <f t="shared" si="3"/>
        <v>0.7368421053</v>
      </c>
      <c r="G16" s="15">
        <f t="shared" si="3"/>
        <v>0.6315789474</v>
      </c>
      <c r="H16" s="15">
        <f t="shared" si="3"/>
        <v>0.7368421053</v>
      </c>
      <c r="I16" s="15">
        <f t="shared" si="3"/>
        <v>0.4210526316</v>
      </c>
      <c r="J16" s="15">
        <f t="shared" si="3"/>
        <v>0.5263157895</v>
      </c>
      <c r="K16" s="15">
        <f t="shared" si="3"/>
        <v>0.2631578947</v>
      </c>
      <c r="L16" s="15">
        <f t="shared" si="3"/>
        <v>0.5263157895</v>
      </c>
      <c r="M16" s="15">
        <f t="shared" si="3"/>
        <v>0.7894736842</v>
      </c>
      <c r="N16" s="15">
        <f t="shared" si="3"/>
        <v>0.6315789474</v>
      </c>
      <c r="O16" s="15">
        <f t="shared" si="3"/>
        <v>0.9473684211</v>
      </c>
      <c r="P16" s="15">
        <f t="shared" si="3"/>
        <v>0.7894736842</v>
      </c>
      <c r="Q16" s="15">
        <f t="shared" si="3"/>
        <v>0.8421052632</v>
      </c>
      <c r="R16" s="40">
        <f t="shared" si="3"/>
        <v>0.1578947368</v>
      </c>
      <c r="S16" s="15">
        <f t="shared" si="3"/>
        <v>0.7894736842</v>
      </c>
      <c r="T16" s="15">
        <f t="shared" si="3"/>
        <v>1.263157895</v>
      </c>
      <c r="U16" s="15">
        <f t="shared" si="3"/>
        <v>0.9473684211</v>
      </c>
      <c r="V16" s="40">
        <f t="shared" si="3"/>
        <v>0.3157894737</v>
      </c>
      <c r="W16" s="15">
        <f t="shared" si="3"/>
        <v>0.8947368421</v>
      </c>
      <c r="X16" s="15">
        <f t="shared" si="3"/>
        <v>0.6842105263</v>
      </c>
      <c r="Y16" s="15">
        <f t="shared" si="3"/>
        <v>0.3684210526</v>
      </c>
      <c r="Z16" s="15">
        <f t="shared" si="3"/>
        <v>0.4210526316</v>
      </c>
      <c r="AA16" s="15">
        <f t="shared" si="3"/>
        <v>0.9473684211</v>
      </c>
      <c r="AB16" s="15">
        <f t="shared" si="3"/>
        <v>0.7894736842</v>
      </c>
      <c r="AC16" s="15">
        <f t="shared" si="3"/>
        <v>0.8421052632</v>
      </c>
      <c r="AD16" s="15">
        <f t="shared" si="3"/>
        <v>0.8421052632</v>
      </c>
      <c r="AE16" s="15">
        <f t="shared" si="3"/>
        <v>0.8421052632</v>
      </c>
      <c r="AF16" s="15">
        <f t="shared" si="3"/>
        <v>1.947368421</v>
      </c>
      <c r="AG16" s="15">
        <f t="shared" si="3"/>
        <v>1.578947368</v>
      </c>
      <c r="AH16" s="15">
        <f t="shared" si="3"/>
        <v>1.289473684</v>
      </c>
      <c r="AI16" s="15">
        <f t="shared" si="3"/>
        <v>0.7105263158</v>
      </c>
      <c r="AJ16" s="15">
        <f t="shared" si="3"/>
        <v>1.184210526</v>
      </c>
      <c r="AK16" s="15">
        <f t="shared" si="3"/>
        <v>1.210526316</v>
      </c>
      <c r="AL16" s="41">
        <f t="shared" si="3"/>
        <v>1.842105263</v>
      </c>
      <c r="AM16" s="42"/>
      <c r="AN16" s="9"/>
      <c r="AO16" s="42"/>
    </row>
    <row r="17">
      <c r="A17" s="32" t="s">
        <v>95</v>
      </c>
      <c r="B17" s="6"/>
      <c r="C17" s="6">
        <f t="shared" ref="C17:AL17" si="4">IF(OR(OR(NOT(ISNUMBER(C$13)),C$13&lt;=0,C$24&gt;0),C$15=0),"",C16/C$13)</f>
        <v>0.7894736842</v>
      </c>
      <c r="D17" s="43">
        <f t="shared" si="4"/>
        <v>0.5263157895</v>
      </c>
      <c r="E17" s="6">
        <f t="shared" si="4"/>
        <v>0.7368421053</v>
      </c>
      <c r="F17" s="6">
        <f t="shared" si="4"/>
        <v>0.7368421053</v>
      </c>
      <c r="G17" s="6">
        <f t="shared" si="4"/>
        <v>0.6315789474</v>
      </c>
      <c r="H17" s="6">
        <f t="shared" si="4"/>
        <v>0.7368421053</v>
      </c>
      <c r="I17" s="6">
        <f t="shared" si="4"/>
        <v>0.4210526316</v>
      </c>
      <c r="J17" s="6">
        <f t="shared" si="4"/>
        <v>0.5263157895</v>
      </c>
      <c r="K17" s="6">
        <f t="shared" si="4"/>
        <v>0.2631578947</v>
      </c>
      <c r="L17" s="6">
        <f t="shared" si="4"/>
        <v>0.5263157895</v>
      </c>
      <c r="M17" s="6">
        <f t="shared" si="4"/>
        <v>0.7894736842</v>
      </c>
      <c r="N17" s="6">
        <f t="shared" si="4"/>
        <v>0.6315789474</v>
      </c>
      <c r="O17" s="6">
        <f t="shared" si="4"/>
        <v>0.9473684211</v>
      </c>
      <c r="P17" s="6">
        <f t="shared" si="4"/>
        <v>0.7894736842</v>
      </c>
      <c r="Q17" s="6">
        <f t="shared" si="4"/>
        <v>0.8421052632</v>
      </c>
      <c r="R17" s="44">
        <f t="shared" si="4"/>
        <v>0.1578947368</v>
      </c>
      <c r="S17" s="6">
        <f t="shared" si="4"/>
        <v>0.7894736842</v>
      </c>
      <c r="T17" s="6">
        <f t="shared" si="4"/>
        <v>0.6315789474</v>
      </c>
      <c r="U17" s="6">
        <f t="shared" si="4"/>
        <v>0.4736842105</v>
      </c>
      <c r="V17" s="44">
        <f t="shared" si="4"/>
        <v>0.1578947368</v>
      </c>
      <c r="W17" s="6">
        <f t="shared" si="4"/>
        <v>0.8947368421</v>
      </c>
      <c r="X17" s="6">
        <f t="shared" si="4"/>
        <v>0.6842105263</v>
      </c>
      <c r="Y17" s="6">
        <f t="shared" si="4"/>
        <v>0.3684210526</v>
      </c>
      <c r="Z17" s="6">
        <f t="shared" si="4"/>
        <v>0.4210526316</v>
      </c>
      <c r="AA17" s="6">
        <f t="shared" si="4"/>
        <v>0.9473684211</v>
      </c>
      <c r="AB17" s="6">
        <f t="shared" si="4"/>
        <v>0.7894736842</v>
      </c>
      <c r="AC17" s="6">
        <f t="shared" si="4"/>
        <v>0.8421052632</v>
      </c>
      <c r="AD17" s="6">
        <f t="shared" si="4"/>
        <v>0.8421052632</v>
      </c>
      <c r="AE17" s="6">
        <f t="shared" si="4"/>
        <v>0.8421052632</v>
      </c>
      <c r="AF17" s="6">
        <f t="shared" si="4"/>
        <v>0.649122807</v>
      </c>
      <c r="AG17" s="6">
        <f t="shared" si="4"/>
        <v>0.7894736842</v>
      </c>
      <c r="AH17" s="6">
        <f t="shared" si="4"/>
        <v>0.4298245614</v>
      </c>
      <c r="AI17" s="6">
        <f t="shared" si="4"/>
        <v>0.7105263158</v>
      </c>
      <c r="AJ17" s="6">
        <f t="shared" si="4"/>
        <v>0.3947368421</v>
      </c>
      <c r="AK17" s="6">
        <f t="shared" si="4"/>
        <v>0.6052631579</v>
      </c>
      <c r="AL17" s="45">
        <f t="shared" si="4"/>
        <v>0.9210526316</v>
      </c>
      <c r="AM17" s="9"/>
      <c r="AN17" s="9"/>
      <c r="AO17" s="9"/>
    </row>
    <row r="18">
      <c r="A18" s="32" t="s">
        <v>96</v>
      </c>
      <c r="B18" s="3"/>
      <c r="C18" s="3">
        <f t="shared" ref="C18:AL18" si="5">IF(OR(NOT(ISNUMBER(C$13)),C$13&lt;=0,C$24&gt;0),"",COUNTIFS(C$30:C$79,C$13,$A$30:$A$79,"&lt;&gt;"))</f>
        <v>15</v>
      </c>
      <c r="D18" s="36">
        <f t="shared" si="5"/>
        <v>10</v>
      </c>
      <c r="E18" s="3">
        <f t="shared" si="5"/>
        <v>14</v>
      </c>
      <c r="F18" s="3">
        <f t="shared" si="5"/>
        <v>14</v>
      </c>
      <c r="G18" s="3">
        <f t="shared" si="5"/>
        <v>12</v>
      </c>
      <c r="H18" s="3">
        <f t="shared" si="5"/>
        <v>14</v>
      </c>
      <c r="I18" s="3">
        <f t="shared" si="5"/>
        <v>8</v>
      </c>
      <c r="J18" s="3">
        <f t="shared" si="5"/>
        <v>10</v>
      </c>
      <c r="K18" s="3">
        <f t="shared" si="5"/>
        <v>5</v>
      </c>
      <c r="L18" s="3">
        <f t="shared" si="5"/>
        <v>10</v>
      </c>
      <c r="M18" s="3">
        <f t="shared" si="5"/>
        <v>15</v>
      </c>
      <c r="N18" s="3">
        <f t="shared" si="5"/>
        <v>12</v>
      </c>
      <c r="O18" s="3">
        <f t="shared" si="5"/>
        <v>18</v>
      </c>
      <c r="P18" s="3">
        <f t="shared" si="5"/>
        <v>15</v>
      </c>
      <c r="Q18" s="3">
        <f t="shared" si="5"/>
        <v>16</v>
      </c>
      <c r="R18" s="37">
        <f t="shared" si="5"/>
        <v>3</v>
      </c>
      <c r="S18" s="3">
        <f t="shared" si="5"/>
        <v>15</v>
      </c>
      <c r="T18" s="3">
        <f t="shared" si="5"/>
        <v>11</v>
      </c>
      <c r="U18" s="3">
        <f t="shared" si="5"/>
        <v>7</v>
      </c>
      <c r="V18" s="37">
        <f t="shared" si="5"/>
        <v>3</v>
      </c>
      <c r="W18" s="3">
        <f t="shared" si="5"/>
        <v>17</v>
      </c>
      <c r="X18" s="3">
        <f t="shared" si="5"/>
        <v>13</v>
      </c>
      <c r="Y18" s="3">
        <f t="shared" si="5"/>
        <v>7</v>
      </c>
      <c r="Z18" s="3">
        <f t="shared" si="5"/>
        <v>8</v>
      </c>
      <c r="AA18" s="3">
        <f t="shared" si="5"/>
        <v>18</v>
      </c>
      <c r="AB18" s="3">
        <f t="shared" si="5"/>
        <v>15</v>
      </c>
      <c r="AC18" s="3">
        <f t="shared" si="5"/>
        <v>16</v>
      </c>
      <c r="AD18" s="3">
        <f t="shared" si="5"/>
        <v>16</v>
      </c>
      <c r="AE18" s="3">
        <f t="shared" si="5"/>
        <v>16</v>
      </c>
      <c r="AF18" s="3">
        <f t="shared" si="5"/>
        <v>5</v>
      </c>
      <c r="AG18" s="3">
        <f t="shared" si="5"/>
        <v>15</v>
      </c>
      <c r="AH18" s="3">
        <f t="shared" si="5"/>
        <v>2</v>
      </c>
      <c r="AI18" s="3">
        <f t="shared" si="5"/>
        <v>10</v>
      </c>
      <c r="AJ18" s="3">
        <f t="shared" si="5"/>
        <v>6</v>
      </c>
      <c r="AK18" s="3">
        <f t="shared" si="5"/>
        <v>11</v>
      </c>
      <c r="AL18" s="16">
        <f t="shared" si="5"/>
        <v>17</v>
      </c>
      <c r="AN18" s="9"/>
    </row>
    <row r="19">
      <c r="A19" s="32" t="s">
        <v>97</v>
      </c>
      <c r="B19" s="3"/>
      <c r="C19" s="3">
        <f t="shared" ref="C19:AL19" si="6">IF(OR(NOT(ISNUMBER(C$13)),C$13&lt;=0,C$24&gt;0),"",COUNTIFS(C$30:C$79,"&gt;0",C$30:C$79,"&lt;"&amp;C$13,$A$30:$A$79,"&lt;&gt;"))</f>
        <v>0</v>
      </c>
      <c r="D19" s="36">
        <f t="shared" si="6"/>
        <v>0</v>
      </c>
      <c r="E19" s="3">
        <f t="shared" si="6"/>
        <v>0</v>
      </c>
      <c r="F19" s="3">
        <f t="shared" si="6"/>
        <v>0</v>
      </c>
      <c r="G19" s="3">
        <f t="shared" si="6"/>
        <v>0</v>
      </c>
      <c r="H19" s="3">
        <f t="shared" si="6"/>
        <v>0</v>
      </c>
      <c r="I19" s="3">
        <f t="shared" si="6"/>
        <v>0</v>
      </c>
      <c r="J19" s="3">
        <f t="shared" si="6"/>
        <v>0</v>
      </c>
      <c r="K19" s="3">
        <f t="shared" si="6"/>
        <v>0</v>
      </c>
      <c r="L19" s="3">
        <f t="shared" si="6"/>
        <v>0</v>
      </c>
      <c r="M19" s="3">
        <f t="shared" si="6"/>
        <v>0</v>
      </c>
      <c r="N19" s="3">
        <f t="shared" si="6"/>
        <v>0</v>
      </c>
      <c r="O19" s="3">
        <f t="shared" si="6"/>
        <v>0</v>
      </c>
      <c r="P19" s="3">
        <f t="shared" si="6"/>
        <v>0</v>
      </c>
      <c r="Q19" s="3">
        <f t="shared" si="6"/>
        <v>0</v>
      </c>
      <c r="R19" s="37">
        <f t="shared" si="6"/>
        <v>0</v>
      </c>
      <c r="S19" s="3">
        <f t="shared" si="6"/>
        <v>0</v>
      </c>
      <c r="T19" s="3">
        <f t="shared" si="6"/>
        <v>2</v>
      </c>
      <c r="U19" s="3">
        <f t="shared" si="6"/>
        <v>4</v>
      </c>
      <c r="V19" s="37">
        <f t="shared" si="6"/>
        <v>0</v>
      </c>
      <c r="W19" s="3">
        <f t="shared" si="6"/>
        <v>0</v>
      </c>
      <c r="X19" s="3">
        <f t="shared" si="6"/>
        <v>0</v>
      </c>
      <c r="Y19" s="3">
        <f t="shared" si="6"/>
        <v>0</v>
      </c>
      <c r="Z19" s="3">
        <f t="shared" si="6"/>
        <v>0</v>
      </c>
      <c r="AA19" s="3">
        <f t="shared" si="6"/>
        <v>0</v>
      </c>
      <c r="AB19" s="3">
        <f t="shared" si="6"/>
        <v>0</v>
      </c>
      <c r="AC19" s="3">
        <f t="shared" si="6"/>
        <v>0</v>
      </c>
      <c r="AD19" s="3">
        <f t="shared" si="6"/>
        <v>0</v>
      </c>
      <c r="AE19" s="3">
        <f t="shared" si="6"/>
        <v>0</v>
      </c>
      <c r="AF19" s="3">
        <f t="shared" si="6"/>
        <v>13</v>
      </c>
      <c r="AG19" s="3">
        <f t="shared" si="6"/>
        <v>0</v>
      </c>
      <c r="AH19" s="3">
        <f t="shared" si="6"/>
        <v>10</v>
      </c>
      <c r="AI19" s="3">
        <f t="shared" si="6"/>
        <v>7</v>
      </c>
      <c r="AJ19" s="3">
        <f t="shared" si="6"/>
        <v>3</v>
      </c>
      <c r="AK19" s="3">
        <f t="shared" si="6"/>
        <v>1</v>
      </c>
      <c r="AL19" s="16">
        <f t="shared" si="6"/>
        <v>1</v>
      </c>
      <c r="AN19" s="9"/>
    </row>
    <row r="20">
      <c r="A20" s="32" t="s">
        <v>98</v>
      </c>
      <c r="B20" s="3"/>
      <c r="C20" s="3">
        <f t="shared" ref="C20:AL20" si="7">IF(OR(NOT(ISNUMBER(C$13)),C$13&lt;=0,C$24&gt;0),"",COUNTIFS(C$30:C$79,0,C$30:C$79,"&lt;&gt;",$A$30:$A$79,"&lt;&gt;"))</f>
        <v>4</v>
      </c>
      <c r="D20" s="36">
        <f t="shared" si="7"/>
        <v>9</v>
      </c>
      <c r="E20" s="3">
        <f t="shared" si="7"/>
        <v>5</v>
      </c>
      <c r="F20" s="3">
        <f t="shared" si="7"/>
        <v>5</v>
      </c>
      <c r="G20" s="3">
        <f t="shared" si="7"/>
        <v>7</v>
      </c>
      <c r="H20" s="3">
        <f t="shared" si="7"/>
        <v>5</v>
      </c>
      <c r="I20" s="3">
        <f t="shared" si="7"/>
        <v>11</v>
      </c>
      <c r="J20" s="3">
        <f t="shared" si="7"/>
        <v>9</v>
      </c>
      <c r="K20" s="3">
        <f t="shared" si="7"/>
        <v>14</v>
      </c>
      <c r="L20" s="3">
        <f t="shared" si="7"/>
        <v>9</v>
      </c>
      <c r="M20" s="3">
        <f t="shared" si="7"/>
        <v>4</v>
      </c>
      <c r="N20" s="3">
        <f t="shared" si="7"/>
        <v>7</v>
      </c>
      <c r="O20" s="3">
        <f t="shared" si="7"/>
        <v>1</v>
      </c>
      <c r="P20" s="3">
        <f t="shared" si="7"/>
        <v>4</v>
      </c>
      <c r="Q20" s="3">
        <f t="shared" si="7"/>
        <v>3</v>
      </c>
      <c r="R20" s="37">
        <f t="shared" si="7"/>
        <v>16</v>
      </c>
      <c r="S20" s="3">
        <f t="shared" si="7"/>
        <v>4</v>
      </c>
      <c r="T20" s="3">
        <f t="shared" si="7"/>
        <v>6</v>
      </c>
      <c r="U20" s="3">
        <f t="shared" si="7"/>
        <v>8</v>
      </c>
      <c r="V20" s="37">
        <f t="shared" si="7"/>
        <v>16</v>
      </c>
      <c r="W20" s="3">
        <f t="shared" si="7"/>
        <v>2</v>
      </c>
      <c r="X20" s="3">
        <f t="shared" si="7"/>
        <v>6</v>
      </c>
      <c r="Y20" s="3">
        <f t="shared" si="7"/>
        <v>12</v>
      </c>
      <c r="Z20" s="3">
        <f t="shared" si="7"/>
        <v>11</v>
      </c>
      <c r="AA20" s="3">
        <f t="shared" si="7"/>
        <v>1</v>
      </c>
      <c r="AB20" s="3">
        <f t="shared" si="7"/>
        <v>4</v>
      </c>
      <c r="AC20" s="3">
        <f t="shared" si="7"/>
        <v>3</v>
      </c>
      <c r="AD20" s="3">
        <f t="shared" si="7"/>
        <v>3</v>
      </c>
      <c r="AE20" s="3">
        <f t="shared" si="7"/>
        <v>3</v>
      </c>
      <c r="AF20" s="3">
        <f t="shared" si="7"/>
        <v>1</v>
      </c>
      <c r="AG20" s="3">
        <f t="shared" si="7"/>
        <v>4</v>
      </c>
      <c r="AH20" s="3">
        <f t="shared" si="7"/>
        <v>7</v>
      </c>
      <c r="AI20" s="3">
        <f t="shared" si="7"/>
        <v>2</v>
      </c>
      <c r="AJ20" s="3">
        <f t="shared" si="7"/>
        <v>10</v>
      </c>
      <c r="AK20" s="3">
        <f t="shared" si="7"/>
        <v>7</v>
      </c>
      <c r="AL20" s="16">
        <f t="shared" si="7"/>
        <v>1</v>
      </c>
      <c r="AN20" s="9"/>
    </row>
    <row r="21">
      <c r="A21" s="32" t="s">
        <v>99</v>
      </c>
      <c r="B21" s="3"/>
      <c r="C21" s="3">
        <f t="shared" ref="C21:AL21" si="8">IF(OR(NOT(ISNUMBER(C$13)),C$13&lt;=0,C$24&gt;0),"",COUNTIF($A$30:$A$79,"&lt;&gt;")-C$15)</f>
        <v>1</v>
      </c>
      <c r="D21" s="36">
        <f t="shared" si="8"/>
        <v>1</v>
      </c>
      <c r="E21" s="3">
        <f t="shared" si="8"/>
        <v>1</v>
      </c>
      <c r="F21" s="3">
        <f t="shared" si="8"/>
        <v>1</v>
      </c>
      <c r="G21" s="3">
        <f t="shared" si="8"/>
        <v>1</v>
      </c>
      <c r="H21" s="3">
        <f t="shared" si="8"/>
        <v>1</v>
      </c>
      <c r="I21" s="3">
        <f t="shared" si="8"/>
        <v>1</v>
      </c>
      <c r="J21" s="3">
        <f t="shared" si="8"/>
        <v>1</v>
      </c>
      <c r="K21" s="3">
        <f t="shared" si="8"/>
        <v>1</v>
      </c>
      <c r="L21" s="3">
        <f t="shared" si="8"/>
        <v>1</v>
      </c>
      <c r="M21" s="3">
        <f t="shared" si="8"/>
        <v>1</v>
      </c>
      <c r="N21" s="3">
        <f t="shared" si="8"/>
        <v>1</v>
      </c>
      <c r="O21" s="3">
        <f t="shared" si="8"/>
        <v>1</v>
      </c>
      <c r="P21" s="3">
        <f t="shared" si="8"/>
        <v>1</v>
      </c>
      <c r="Q21" s="3">
        <f t="shared" si="8"/>
        <v>1</v>
      </c>
      <c r="R21" s="37">
        <f t="shared" si="8"/>
        <v>1</v>
      </c>
      <c r="S21" s="3">
        <f t="shared" si="8"/>
        <v>1</v>
      </c>
      <c r="T21" s="3">
        <f t="shared" si="8"/>
        <v>1</v>
      </c>
      <c r="U21" s="3">
        <f t="shared" si="8"/>
        <v>1</v>
      </c>
      <c r="V21" s="37">
        <f t="shared" si="8"/>
        <v>1</v>
      </c>
      <c r="W21" s="3">
        <f t="shared" si="8"/>
        <v>1</v>
      </c>
      <c r="X21" s="3">
        <f t="shared" si="8"/>
        <v>1</v>
      </c>
      <c r="Y21" s="3">
        <f t="shared" si="8"/>
        <v>1</v>
      </c>
      <c r="Z21" s="3">
        <f t="shared" si="8"/>
        <v>1</v>
      </c>
      <c r="AA21" s="3">
        <f t="shared" si="8"/>
        <v>1</v>
      </c>
      <c r="AB21" s="3">
        <f t="shared" si="8"/>
        <v>1</v>
      </c>
      <c r="AC21" s="3">
        <f t="shared" si="8"/>
        <v>1</v>
      </c>
      <c r="AD21" s="3">
        <f t="shared" si="8"/>
        <v>1</v>
      </c>
      <c r="AE21" s="3">
        <f t="shared" si="8"/>
        <v>1</v>
      </c>
      <c r="AF21" s="3">
        <f t="shared" si="8"/>
        <v>1</v>
      </c>
      <c r="AG21" s="3">
        <f t="shared" si="8"/>
        <v>1</v>
      </c>
      <c r="AH21" s="3">
        <f t="shared" si="8"/>
        <v>1</v>
      </c>
      <c r="AI21" s="3">
        <f t="shared" si="8"/>
        <v>1</v>
      </c>
      <c r="AJ21" s="3">
        <f t="shared" si="8"/>
        <v>1</v>
      </c>
      <c r="AK21" s="3">
        <f t="shared" si="8"/>
        <v>1</v>
      </c>
      <c r="AL21" s="16">
        <f t="shared" si="8"/>
        <v>1</v>
      </c>
      <c r="AN21" s="9"/>
    </row>
    <row r="22">
      <c r="A22" s="38" t="s">
        <v>100</v>
      </c>
      <c r="B22" s="15"/>
      <c r="C22" s="15">
        <f t="shared" ref="C22:AL22" si="9">IF(OR(OR(NOT(ISNUMBER(C$13)),C$13&lt;=0,C$24&gt;0),C$15&lt;2),"",_xlfn.STDEV.S(C$30:C$79))</f>
        <v>0.4188539083</v>
      </c>
      <c r="D22" s="39">
        <f t="shared" si="9"/>
        <v>0.512989176</v>
      </c>
      <c r="E22" s="15">
        <f t="shared" si="9"/>
        <v>0.4524139284</v>
      </c>
      <c r="F22" s="15">
        <f t="shared" si="9"/>
        <v>0.4524139284</v>
      </c>
      <c r="G22" s="15">
        <f t="shared" si="9"/>
        <v>0.4955946278</v>
      </c>
      <c r="H22" s="15">
        <f t="shared" si="9"/>
        <v>0.4524139284</v>
      </c>
      <c r="I22" s="15">
        <f t="shared" si="9"/>
        <v>0.5072572735</v>
      </c>
      <c r="J22" s="15">
        <f t="shared" si="9"/>
        <v>0.512989176</v>
      </c>
      <c r="K22" s="15">
        <f t="shared" si="9"/>
        <v>0.4524139284</v>
      </c>
      <c r="L22" s="15">
        <f t="shared" si="9"/>
        <v>0.512989176</v>
      </c>
      <c r="M22" s="15">
        <f t="shared" si="9"/>
        <v>0.4188539083</v>
      </c>
      <c r="N22" s="15">
        <f t="shared" si="9"/>
        <v>0.4955946278</v>
      </c>
      <c r="O22" s="15">
        <f t="shared" si="9"/>
        <v>0.2294157339</v>
      </c>
      <c r="P22" s="15">
        <f t="shared" si="9"/>
        <v>0.4188539083</v>
      </c>
      <c r="Q22" s="15">
        <f t="shared" si="9"/>
        <v>0.3746343246</v>
      </c>
      <c r="R22" s="40">
        <f t="shared" si="9"/>
        <v>0.3746343246</v>
      </c>
      <c r="S22" s="15">
        <f t="shared" si="9"/>
        <v>0.4188539083</v>
      </c>
      <c r="T22" s="15">
        <f t="shared" si="9"/>
        <v>0.9334586382</v>
      </c>
      <c r="U22" s="15">
        <f t="shared" si="9"/>
        <v>0.9112679939</v>
      </c>
      <c r="V22" s="40">
        <f t="shared" si="9"/>
        <v>0.7492686493</v>
      </c>
      <c r="W22" s="15">
        <f t="shared" si="9"/>
        <v>0.3153017676</v>
      </c>
      <c r="X22" s="15">
        <f t="shared" si="9"/>
        <v>0.4775669329</v>
      </c>
      <c r="Y22" s="15">
        <f t="shared" si="9"/>
        <v>0.4955946278</v>
      </c>
      <c r="Z22" s="15">
        <f t="shared" si="9"/>
        <v>0.5072572735</v>
      </c>
      <c r="AA22" s="15">
        <f t="shared" si="9"/>
        <v>0.2294157339</v>
      </c>
      <c r="AB22" s="15">
        <f t="shared" si="9"/>
        <v>0.4188539083</v>
      </c>
      <c r="AC22" s="15">
        <f t="shared" si="9"/>
        <v>0.3746343246</v>
      </c>
      <c r="AD22" s="15">
        <f t="shared" si="9"/>
        <v>0.3746343246</v>
      </c>
      <c r="AE22" s="15">
        <f t="shared" si="9"/>
        <v>0.3746343246</v>
      </c>
      <c r="AF22" s="15">
        <f t="shared" si="9"/>
        <v>0.8481145239</v>
      </c>
      <c r="AG22" s="15">
        <f t="shared" si="9"/>
        <v>0.8377078166</v>
      </c>
      <c r="AH22" s="15">
        <f t="shared" si="9"/>
        <v>1.121950057</v>
      </c>
      <c r="AI22" s="15">
        <f t="shared" si="9"/>
        <v>0.3462413045</v>
      </c>
      <c r="AJ22" s="15">
        <f t="shared" si="9"/>
        <v>1.406438827</v>
      </c>
      <c r="AK22" s="15">
        <f t="shared" si="9"/>
        <v>0.9763280055</v>
      </c>
      <c r="AL22" s="41">
        <f t="shared" si="9"/>
        <v>0.5014598571</v>
      </c>
      <c r="AM22" s="42"/>
      <c r="AN22" s="9"/>
      <c r="AO22" s="42"/>
    </row>
    <row r="23">
      <c r="A23" s="38" t="s">
        <v>101</v>
      </c>
      <c r="B23" s="15"/>
      <c r="C23" s="15">
        <f>IFERROR(__xludf.DUMMYFUNCTION("IF(OR(OR(NOT(ISNUMBER(C$13)),C$13&lt;=0,C$24&gt;0),COUNT($AM$30:$AM$79)&lt;3),"""",IF(OR(STDEV.S(FILTER(C$30:C$79,ISNUMBER($AM$30:$AM$79)))=0,STDEV.S(FILTER($AM$30:$AM$79-C$30:C$79,ISNUMBER($AM$30:$AM$79)))=0),""n.a."",CORREL(FILTER(C$30:C$79,ISNUMBER($AM$30:$AM$7"&amp;"9)),FILTER($AM$30:$AM$79-C$30:C$79,ISNUMBER($AM$30:$AM$79)))))"),0.39293897957146817)</f>
        <v>0.3929389796</v>
      </c>
      <c r="D23" s="39">
        <f>IFERROR(__xludf.DUMMYFUNCTION("IF(OR(OR(NOT(ISNUMBER(D$13)),D$13&lt;=0,D$24&gt;0),COUNT($AM$30:$AM$79)&lt;3),"""",IF(OR(STDEV.S(FILTER(D$30:D$79,ISNUMBER($AM$30:$AM$79)))=0,STDEV.S(FILTER($AM$30:$AM$79-D$30:D$79,ISNUMBER($AM$30:$AM$79)))=0),""n.a."",CORREL(FILTER(D$30:D$79,ISNUMBER($AM$30:$AM$7"&amp;"9)),FILTER($AM$30:$AM$79-D$30:D$79,ISNUMBER($AM$30:$AM$79)))))"),-0.01421395455357832)</f>
        <v>-0.01421395455</v>
      </c>
      <c r="E23" s="15">
        <f>IFERROR(__xludf.DUMMYFUNCTION("IF(OR(OR(NOT(ISNUMBER(E$13)),E$13&lt;=0,E$24&gt;0),COUNT($AM$30:$AM$79)&lt;3),"""",IF(OR(STDEV.S(FILTER(E$30:E$79,ISNUMBER($AM$30:$AM$79)))=0,STDEV.S(FILTER($AM$30:$AM$79-E$30:E$79,ISNUMBER($AM$30:$AM$79)))=0),""n.a."",CORREL(FILTER(E$30:E$79,ISNUMBER($AM$30:$AM$7"&amp;"9)),FILTER($AM$30:$AM$79-E$30:E$79,ISNUMBER($AM$30:$AM$79)))))"),0.5940367649802991)</f>
        <v>0.594036765</v>
      </c>
      <c r="F23" s="15">
        <f>IFERROR(__xludf.DUMMYFUNCTION("IF(OR(OR(NOT(ISNUMBER(F$13)),F$13&lt;=0,F$24&gt;0),COUNT($AM$30:$AM$79)&lt;3),"""",IF(OR(STDEV.S(FILTER(F$30:F$79,ISNUMBER($AM$30:$AM$79)))=0,STDEV.S(FILTER($AM$30:$AM$79-F$30:F$79,ISNUMBER($AM$30:$AM$79)))=0),""n.a."",CORREL(FILTER(F$30:F$79,ISNUMBER($AM$30:$AM$7"&amp;"9)),FILTER($AM$30:$AM$79-F$30:F$79,ISNUMBER($AM$30:$AM$79)))))"),0.36064110132963767)</f>
        <v>0.3606411013</v>
      </c>
      <c r="G23" s="15">
        <f>IFERROR(__xludf.DUMMYFUNCTION("IF(OR(OR(NOT(ISNUMBER(G$13)),G$13&lt;=0,G$24&gt;0),COUNT($AM$30:$AM$79)&lt;3),"""",IF(OR(STDEV.S(FILTER(G$30:G$79,ISNUMBER($AM$30:$AM$79)))=0,STDEV.S(FILTER($AM$30:$AM$79-G$30:G$79,ISNUMBER($AM$30:$AM$79)))=0),""n.a."",CORREL(FILTER(G$30:G$79,ISNUMBER($AM$30:$AM$7"&amp;"9)),FILTER($AM$30:$AM$79-G$30:G$79,ISNUMBER($AM$30:$AM$79)))))"),0.5911077515398248)</f>
        <v>0.5911077515</v>
      </c>
      <c r="H23" s="15">
        <f>IFERROR(__xludf.DUMMYFUNCTION("IF(OR(OR(NOT(ISNUMBER(H$13)),H$13&lt;=0,H$24&gt;0),COUNT($AM$30:$AM$79)&lt;3),"""",IF(OR(STDEV.S(FILTER(H$30:H$79,ISNUMBER($AM$30:$AM$79)))=0,STDEV.S(FILTER($AM$30:$AM$79-H$30:H$79,ISNUMBER($AM$30:$AM$79)))=0),""n.a."",CORREL(FILTER(H$30:H$79,ISNUMBER($AM$30:$AM$7"&amp;"9)),FILTER($AM$30:$AM$79-H$30:H$79,ISNUMBER($AM$30:$AM$79)))))"),0.31210740204500015)</f>
        <v>0.312107402</v>
      </c>
      <c r="I23" s="15">
        <f>IFERROR(__xludf.DUMMYFUNCTION("IF(OR(OR(NOT(ISNUMBER(I$13)),I$13&lt;=0,I$24&gt;0),COUNT($AM$30:$AM$79)&lt;3),"""",IF(OR(STDEV.S(FILTER(I$30:I$79,ISNUMBER($AM$30:$AM$79)))=0,STDEV.S(FILTER($AM$30:$AM$79-I$30:I$79,ISNUMBER($AM$30:$AM$79)))=0),""n.a."",CORREL(FILTER(I$30:I$79,ISNUMBER($AM$30:$AM$7"&amp;"9)),FILTER($AM$30:$AM$79-I$30:I$79,ISNUMBER($AM$30:$AM$79)))))"),0.3285832458389668)</f>
        <v>0.3285832458</v>
      </c>
      <c r="J23" s="15">
        <f>IFERROR(__xludf.DUMMYFUNCTION("IF(OR(OR(NOT(ISNUMBER(J$13)),J$13&lt;=0,J$24&gt;0),COUNT($AM$30:$AM$79)&lt;3),"""",IF(OR(STDEV.S(FILTER(J$30:J$79,ISNUMBER($AM$30:$AM$79)))=0,STDEV.S(FILTER($AM$30:$AM$79-J$30:J$79,ISNUMBER($AM$30:$AM$79)))=0),""n.a."",CORREL(FILTER(J$30:J$79,ISNUMBER($AM$30:$AM$7"&amp;"9)),FILTER($AM$30:$AM$79-J$30:J$79,ISNUMBER($AM$30:$AM$79)))))"),0.5734292087942027)</f>
        <v>0.5734292088</v>
      </c>
      <c r="K23" s="15">
        <f>IFERROR(__xludf.DUMMYFUNCTION("IF(OR(OR(NOT(ISNUMBER(K$13)),K$13&lt;=0,K$24&gt;0),COUNT($AM$30:$AM$79)&lt;3),"""",IF(OR(STDEV.S(FILTER(K$30:K$79,ISNUMBER($AM$30:$AM$79)))=0,STDEV.S(FILTER($AM$30:$AM$79-K$30:K$79,ISNUMBER($AM$30:$AM$79)))=0),""n.a."",CORREL(FILTER(K$30:K$79,ISNUMBER($AM$30:$AM$7"&amp;"9)),FILTER($AM$30:$AM$79-K$30:K$79,ISNUMBER($AM$30:$AM$79)))))"),0.19608078323571967)</f>
        <v>0.1960807832</v>
      </c>
      <c r="L23" s="15">
        <f>IFERROR(__xludf.DUMMYFUNCTION("IF(OR(OR(NOT(ISNUMBER(L$13)),L$13&lt;=0,L$24&gt;0),COUNT($AM$30:$AM$79)&lt;3),"""",IF(OR(STDEV.S(FILTER(L$30:L$79,ISNUMBER($AM$30:$AM$79)))=0,STDEV.S(FILTER($AM$30:$AM$79-L$30:L$79,ISNUMBER($AM$30:$AM$79)))=0),""n.a."",CORREL(FILTER(L$30:L$79,ISNUMBER($AM$30:$AM$7"&amp;"9)),FILTER($AM$30:$AM$79-L$30:L$79,ISNUMBER($AM$30:$AM$79)))))"),0.5789319824864928)</f>
        <v>0.5789319825</v>
      </c>
      <c r="M23" s="15">
        <f>IFERROR(__xludf.DUMMYFUNCTION("IF(OR(OR(NOT(ISNUMBER(M$13)),M$13&lt;=0,M$24&gt;0),COUNT($AM$30:$AM$79)&lt;3),"""",IF(OR(STDEV.S(FILTER(M$30:M$79,ISNUMBER($AM$30:$AM$79)))=0,STDEV.S(FILTER($AM$30:$AM$79-M$30:M$79,ISNUMBER($AM$30:$AM$79)))=0),""n.a."",CORREL(FILTER(M$30:M$79,ISNUMBER($AM$30:$AM$7"&amp;"9)),FILTER($AM$30:$AM$79-M$30:M$79,ISNUMBER($AM$30:$AM$79)))))"),0.6651965800178761)</f>
        <v>0.66519658</v>
      </c>
      <c r="N23" s="15">
        <f>IFERROR(__xludf.DUMMYFUNCTION("IF(OR(OR(NOT(ISNUMBER(N$13)),N$13&lt;=0,N$24&gt;0),COUNT($AM$30:$AM$79)&lt;3),"""",IF(OR(STDEV.S(FILTER(N$30:N$79,ISNUMBER($AM$30:$AM$79)))=0,STDEV.S(FILTER($AM$30:$AM$79-N$30:N$79,ISNUMBER($AM$30:$AM$79)))=0),""n.a."",CORREL(FILTER(N$30:N$79,ISNUMBER($AM$30:$AM$7"&amp;"9)),FILTER($AM$30:$AM$79-N$30:N$79,ISNUMBER($AM$30:$AM$79)))))"),0.24953680858241412)</f>
        <v>0.2495368086</v>
      </c>
      <c r="O23" s="15">
        <f>IFERROR(__xludf.DUMMYFUNCTION("IF(OR(OR(NOT(ISNUMBER(O$13)),O$13&lt;=0,O$24&gt;0),COUNT($AM$30:$AM$79)&lt;3),"""",IF(OR(STDEV.S(FILTER(O$30:O$79,ISNUMBER($AM$30:$AM$79)))=0,STDEV.S(FILTER($AM$30:$AM$79-O$30:O$79,ISNUMBER($AM$30:$AM$79)))=0),""n.a."",CORREL(FILTER(O$30:O$79,ISNUMBER($AM$30:$AM$7"&amp;"9)),FILTER($AM$30:$AM$79-O$30:O$79,ISNUMBER($AM$30:$AM$79)))))"),0.3938613776889741)</f>
        <v>0.3938613777</v>
      </c>
      <c r="P23" s="15">
        <f>IFERROR(__xludf.DUMMYFUNCTION("IF(OR(OR(NOT(ISNUMBER(P$13)),P$13&lt;=0,P$24&gt;0),COUNT($AM$30:$AM$79)&lt;3),"""",IF(OR(STDEV.S(FILTER(P$30:P$79,ISNUMBER($AM$30:$AM$79)))=0,STDEV.S(FILTER($AM$30:$AM$79-P$30:P$79,ISNUMBER($AM$30:$AM$79)))=0),""n.a."",CORREL(FILTER(P$30:P$79,ISNUMBER($AM$30:$AM$7"&amp;"9)),FILTER($AM$30:$AM$79-P$30:P$79,ISNUMBER($AM$30:$AM$79)))))"),0.3339713558833326)</f>
        <v>0.3339713559</v>
      </c>
      <c r="Q23" s="15">
        <f>IFERROR(__xludf.DUMMYFUNCTION("IF(OR(OR(NOT(ISNUMBER(Q$13)),Q$13&lt;=0,Q$24&gt;0),COUNT($AM$30:$AM$79)&lt;3),"""",IF(OR(STDEV.S(FILTER(Q$30:Q$79,ISNUMBER($AM$30:$AM$79)))=0,STDEV.S(FILTER($AM$30:$AM$79-Q$30:Q$79,ISNUMBER($AM$30:$AM$79)))=0),""n.a."",CORREL(FILTER(Q$30:Q$79,ISNUMBER($AM$30:$AM$7"&amp;"9)),FILTER($AM$30:$AM$79-Q$30:Q$79,ISNUMBER($AM$30:$AM$79)))))"),0.4887937206158562)</f>
        <v>0.4887937206</v>
      </c>
      <c r="R23" s="40">
        <f>IFERROR(__xludf.DUMMYFUNCTION("IF(OR(OR(NOT(ISNUMBER(R$13)),R$13&lt;=0,R$24&gt;0),COUNT($AM$30:$AM$79)&lt;3),"""",IF(OR(STDEV.S(FILTER(R$30:R$79,ISNUMBER($AM$30:$AM$79)))=0,STDEV.S(FILTER($AM$30:$AM$79-R$30:R$79,ISNUMBER($AM$30:$AM$79)))=0),""n.a."",CORREL(FILTER(R$30:R$79,ISNUMBER($AM$30:$AM$7"&amp;"9)),FILTER($AM$30:$AM$79-R$30:R$79,ISNUMBER($AM$30:$AM$79)))))"),0.2466225939543092)</f>
        <v>0.246622594</v>
      </c>
      <c r="S23" s="15">
        <f>IFERROR(__xludf.DUMMYFUNCTION("IF(OR(OR(NOT(ISNUMBER(S$13)),S$13&lt;=0,S$24&gt;0),COUNT($AM$30:$AM$79)&lt;3),"""",IF(OR(STDEV.S(FILTER(S$30:S$79,ISNUMBER($AM$30:$AM$79)))=0,STDEV.S(FILTER($AM$30:$AM$79-S$30:S$79,ISNUMBER($AM$30:$AM$79)))=0),""n.a."",CORREL(FILTER(S$30:S$79,ISNUMBER($AM$30:$AM$7"&amp;"9)),FILTER($AM$30:$AM$79-S$30:S$79,ISNUMBER($AM$30:$AM$79)))))"),0.40608121933306646)</f>
        <v>0.4060812193</v>
      </c>
      <c r="T23" s="15">
        <f>IFERROR(__xludf.DUMMYFUNCTION("IF(OR(OR(NOT(ISNUMBER(T$13)),T$13&lt;=0,T$24&gt;0),COUNT($AM$30:$AM$79)&lt;3),"""",IF(OR(STDEV.S(FILTER(T$30:T$79,ISNUMBER($AM$30:$AM$79)))=0,STDEV.S(FILTER($AM$30:$AM$79-T$30:T$79,ISNUMBER($AM$30:$AM$79)))=0),""n.a."",CORREL(FILTER(T$30:T$79,ISNUMBER($AM$30:$AM$7"&amp;"9)),FILTER($AM$30:$AM$79-T$30:T$79,ISNUMBER($AM$30:$AM$79)))))"),0.7572210912437924)</f>
        <v>0.7572210912</v>
      </c>
      <c r="U23" s="15">
        <f>IFERROR(__xludf.DUMMYFUNCTION("IF(OR(OR(NOT(ISNUMBER(U$13)),U$13&lt;=0,U$24&gt;0),COUNT($AM$30:$AM$79)&lt;3),"""",IF(OR(STDEV.S(FILTER(U$30:U$79,ISNUMBER($AM$30:$AM$79)))=0,STDEV.S(FILTER($AM$30:$AM$79-U$30:U$79,ISNUMBER($AM$30:$AM$79)))=0),""n.a."",CORREL(FILTER(U$30:U$79,ISNUMBER($AM$30:$AM$7"&amp;"9)),FILTER($AM$30:$AM$79-U$30:U$79,ISNUMBER($AM$30:$AM$79)))))"),0.4473303738395715)</f>
        <v>0.4473303738</v>
      </c>
      <c r="V23" s="40">
        <f>IFERROR(__xludf.DUMMYFUNCTION("IF(OR(OR(NOT(ISNUMBER(V$13)),V$13&lt;=0,V$24&gt;0),COUNT($AM$30:$AM$79)&lt;3),"""",IF(OR(STDEV.S(FILTER(V$30:V$79,ISNUMBER($AM$30:$AM$79)))=0,STDEV.S(FILTER($AM$30:$AM$79-V$30:V$79,ISNUMBER($AM$30:$AM$79)))=0),""n.a."",CORREL(FILTER(V$30:V$79,ISNUMBER($AM$30:$AM$7"&amp;"9)),FILTER($AM$30:$AM$79-V$30:V$79,ISNUMBER($AM$30:$AM$79)))))"),0.3381990857406597)</f>
        <v>0.3381990857</v>
      </c>
      <c r="W23" s="15">
        <f>IFERROR(__xludf.DUMMYFUNCTION("IF(OR(OR(NOT(ISNUMBER(W$13)),W$13&lt;=0,W$24&gt;0),COUNT($AM$30:$AM$79)&lt;3),"""",IF(OR(STDEV.S(FILTER(W$30:W$79,ISNUMBER($AM$30:$AM$79)))=0,STDEV.S(FILTER($AM$30:$AM$79-W$30:W$79,ISNUMBER($AM$30:$AM$79)))=0),""n.a."",CORREL(FILTER(W$30:W$79,ISNUMBER($AM$30:$AM$7"&amp;"9)),FILTER($AM$30:$AM$79-W$30:W$79,ISNUMBER($AM$30:$AM$79)))))"),0.6240202912361323)</f>
        <v>0.6240202912</v>
      </c>
      <c r="X23" s="15">
        <f>IFERROR(__xludf.DUMMYFUNCTION("IF(OR(OR(NOT(ISNUMBER(X$13)),X$13&lt;=0,X$24&gt;0),COUNT($AM$30:$AM$79)&lt;3),"""",IF(OR(STDEV.S(FILTER(X$30:X$79,ISNUMBER($AM$30:$AM$79)))=0,STDEV.S(FILTER($AM$30:$AM$79-X$30:X$79,ISNUMBER($AM$30:$AM$79)))=0),""n.a."",CORREL(FILTER(X$30:X$79,ISNUMBER($AM$30:$AM$7"&amp;"9)),FILTER($AM$30:$AM$79-X$30:X$79,ISNUMBER($AM$30:$AM$79)))))"),0.46148770945925055)</f>
        <v>0.4614877095</v>
      </c>
      <c r="Y23" s="15">
        <f>IFERROR(__xludf.DUMMYFUNCTION("IF(OR(OR(NOT(ISNUMBER(Y$13)),Y$13&lt;=0,Y$24&gt;0),COUNT($AM$30:$AM$79)&lt;3),"""",IF(OR(STDEV.S(FILTER(Y$30:Y$79,ISNUMBER($AM$30:$AM$79)))=0,STDEV.S(FILTER($AM$30:$AM$79-Y$30:Y$79,ISNUMBER($AM$30:$AM$79)))=0),""n.a."",CORREL(FILTER(Y$30:Y$79,ISNUMBER($AM$30:$AM$7"&amp;"9)),FILTER($AM$30:$AM$79-Y$30:Y$79,ISNUMBER($AM$30:$AM$79)))))"),0.6804749848499504)</f>
        <v>0.6804749848</v>
      </c>
      <c r="Z23" s="15">
        <f>IFERROR(__xludf.DUMMYFUNCTION("IF(OR(OR(NOT(ISNUMBER(Z$13)),Z$13&lt;=0,Z$24&gt;0),COUNT($AM$30:$AM$79)&lt;3),"""",IF(OR(STDEV.S(FILTER(Z$30:Z$79,ISNUMBER($AM$30:$AM$79)))=0,STDEV.S(FILTER($AM$30:$AM$79-Z$30:Z$79,ISNUMBER($AM$30:$AM$79)))=0),""n.a."",CORREL(FILTER(Z$30:Z$79,ISNUMBER($AM$30:$AM$7"&amp;"9)),FILTER($AM$30:$AM$79-Z$30:Z$79,ISNUMBER($AM$30:$AM$79)))))"),0.5424826549442276)</f>
        <v>0.5424826549</v>
      </c>
      <c r="AA23" s="15">
        <f>IFERROR(__xludf.DUMMYFUNCTION("IF(OR(OR(NOT(ISNUMBER(AA$13)),AA$13&lt;=0,AA$24&gt;0),COUNT($AM$30:$AM$79)&lt;3),"""",IF(OR(STDEV.S(FILTER(AA$30:AA$79,ISNUMBER($AM$30:$AM$79)))=0,STDEV.S(FILTER($AM$30:$AM$79-AA$30:AA$79,ISNUMBER($AM$30:$AM$79)))=0),""n.a."",CORREL(FILTER(AA$30:AA$79,ISNUMBER($AM"&amp;"$30:$AM$79)),FILTER($AM$30:$AM$79-AA$30:AA$79,ISNUMBER($AM$30:$AM$79)))))"),0.4530056440551784)</f>
        <v>0.4530056441</v>
      </c>
      <c r="AB23" s="15">
        <f>IFERROR(__xludf.DUMMYFUNCTION("IF(OR(OR(NOT(ISNUMBER(AB$13)),AB$13&lt;=0,AB$24&gt;0),COUNT($AM$30:$AM$79)&lt;3),"""",IF(OR(STDEV.S(FILTER(AB$30:AB$79,ISNUMBER($AM$30:$AM$79)))=0,STDEV.S(FILTER($AM$30:$AM$79-AB$30:AB$79,ISNUMBER($AM$30:$AM$79)))=0),""n.a."",CORREL(FILTER(AB$30:AB$79,ISNUMBER($AM"&amp;"$30:$AM$79)),FILTER($AM$30:$AM$79-AB$30:AB$79,ISNUMBER($AM$30:$AM$79)))))"),0.3078535696758201)</f>
        <v>0.3078535697</v>
      </c>
      <c r="AC23" s="15">
        <f>IFERROR(__xludf.DUMMYFUNCTION("IF(OR(OR(NOT(ISNUMBER(AC$13)),AC$13&lt;=0,AC$24&gt;0),COUNT($AM$30:$AM$79)&lt;3),"""",IF(OR(STDEV.S(FILTER(AC$30:AC$79,ISNUMBER($AM$30:$AM$79)))=0,STDEV.S(FILTER($AM$30:$AM$79-AC$30:AC$79,ISNUMBER($AM$30:$AM$79)))=0),""n.a."",CORREL(FILTER(AC$30:AC$79,ISNUMBER($AM"&amp;"$30:$AM$79)),FILTER($AM$30:$AM$79-AC$30:AC$79,ISNUMBER($AM$30:$AM$79)))))"),0.4667074973426375)</f>
        <v>0.4667074973</v>
      </c>
      <c r="AD23" s="15">
        <f>IFERROR(__xludf.DUMMYFUNCTION("IF(OR(OR(NOT(ISNUMBER(AD$13)),AD$13&lt;=0,AD$24&gt;0),COUNT($AM$30:$AM$79)&lt;3),"""",IF(OR(STDEV.S(FILTER(AD$30:AD$79,ISNUMBER($AM$30:$AM$79)))=0,STDEV.S(FILTER($AM$30:$AM$79-AD$30:AD$79,ISNUMBER($AM$30:$AM$79)))=0),""n.a."",CORREL(FILTER(AD$30:AD$79,ISNUMBER($AM"&amp;"$30:$AM$79)),FILTER($AM$30:$AM$79-AD$30:AD$79,ISNUMBER($AM$30:$AM$79)))))"),0.5997586837710368)</f>
        <v>0.5997586838</v>
      </c>
      <c r="AE23" s="15">
        <f>IFERROR(__xludf.DUMMYFUNCTION("IF(OR(OR(NOT(ISNUMBER(AE$13)),AE$13&lt;=0,AE$24&gt;0),COUNT($AM$30:$AM$79)&lt;3),"""",IF(OR(STDEV.S(FILTER(AE$30:AE$79,ISNUMBER($AM$30:$AM$79)))=0,STDEV.S(FILTER($AM$30:$AM$79-AE$30:AE$79,ISNUMBER($AM$30:$AM$79)))=0),""n.a."",CORREL(FILTER(AE$30:AE$79,ISNUMBER($AM"&amp;"$30:$AM$79)),FILTER($AM$30:$AM$79-AE$30:AE$79,ISNUMBER($AM$30:$AM$79)))))"),0.26225459893321584)</f>
        <v>0.2622545989</v>
      </c>
      <c r="AF23" s="15">
        <f>IFERROR(__xludf.DUMMYFUNCTION("IF(OR(OR(NOT(ISNUMBER(AF$13)),AF$13&lt;=0,AF$24&gt;0),COUNT($AM$30:$AM$79)&lt;3),"""",IF(OR(STDEV.S(FILTER(AF$30:AF$79,ISNUMBER($AM$30:$AM$79)))=0,STDEV.S(FILTER($AM$30:$AM$79-AF$30:AF$79,ISNUMBER($AM$30:$AM$79)))=0),""n.a."",CORREL(FILTER(AF$30:AF$79,ISNUMBER($AM"&amp;"$30:$AM$79)),FILTER($AM$30:$AM$79-AF$30:AF$79,ISNUMBER($AM$30:$AM$79)))))"),0.6009085200663025)</f>
        <v>0.6009085201</v>
      </c>
      <c r="AG23" s="15">
        <f>IFERROR(__xludf.DUMMYFUNCTION("IF(OR(OR(NOT(ISNUMBER(AG$13)),AG$13&lt;=0,AG$24&gt;0),COUNT($AM$30:$AM$79)&lt;3),"""",IF(OR(STDEV.S(FILTER(AG$30:AG$79,ISNUMBER($AM$30:$AM$79)))=0,STDEV.S(FILTER($AM$30:$AM$79-AG$30:AG$79,ISNUMBER($AM$30:$AM$79)))=0),""n.a."",CORREL(FILTER(AG$30:AG$79,ISNUMBER($AM"&amp;"$30:$AM$79)),FILTER($AM$30:$AM$79-AG$30:AG$79,ISNUMBER($AM$30:$AM$79)))))"),0.5988737671909965)</f>
        <v>0.5988737672</v>
      </c>
      <c r="AH23" s="15">
        <f>IFERROR(__xludf.DUMMYFUNCTION("IF(OR(OR(NOT(ISNUMBER(AH$13)),AH$13&lt;=0,AH$24&gt;0),COUNT($AM$30:$AM$79)&lt;3),"""",IF(OR(STDEV.S(FILTER(AH$30:AH$79,ISNUMBER($AM$30:$AM$79)))=0,STDEV.S(FILTER($AM$30:$AM$79-AH$30:AH$79,ISNUMBER($AM$30:$AM$79)))=0),""n.a."",CORREL(FILTER(AH$30:AH$79,ISNUMBER($AM"&amp;"$30:$AM$79)),FILTER($AM$30:$AM$79-AH$30:AH$79,ISNUMBER($AM$30:$AM$79)))))"),0.4427458244785114)</f>
        <v>0.4427458245</v>
      </c>
      <c r="AI23" s="15">
        <f>IFERROR(__xludf.DUMMYFUNCTION("IF(OR(OR(NOT(ISNUMBER(AI$13)),AI$13&lt;=0,AI$24&gt;0),COUNT($AM$30:$AM$79)&lt;3),"""",IF(OR(STDEV.S(FILTER(AI$30:AI$79,ISNUMBER($AM$30:$AM$79)))=0,STDEV.S(FILTER($AM$30:$AM$79-AI$30:AI$79,ISNUMBER($AM$30:$AM$79)))=0),""n.a."",CORREL(FILTER(AI$30:AI$79,ISNUMBER($AM"&amp;"$30:$AM$79)),FILTER($AM$30:$AM$79-AI$30:AI$79,ISNUMBER($AM$30:$AM$79)))))"),0.43785146408789)</f>
        <v>0.4378514641</v>
      </c>
      <c r="AJ23" s="15">
        <f>IFERROR(__xludf.DUMMYFUNCTION("IF(OR(OR(NOT(ISNUMBER(AJ$13)),AJ$13&lt;=0,AJ$24&gt;0),COUNT($AM$30:$AM$79)&lt;3),"""",IF(OR(STDEV.S(FILTER(AJ$30:AJ$79,ISNUMBER($AM$30:$AM$79)))=0,STDEV.S(FILTER($AM$30:$AM$79-AJ$30:AJ$79,ISNUMBER($AM$30:$AM$79)))=0),""n.a."",CORREL(FILTER(AJ$30:AJ$79,ISNUMBER($AM"&amp;"$30:$AM$79)),FILTER($AM$30:$AM$79-AJ$30:AJ$79,ISNUMBER($AM$30:$AM$79)))))"),0.611377083495277)</f>
        <v>0.6113770835</v>
      </c>
      <c r="AK23" s="15">
        <f>IFERROR(__xludf.DUMMYFUNCTION("IF(OR(OR(NOT(ISNUMBER(AK$13)),AK$13&lt;=0,AK$24&gt;0),COUNT($AM$30:$AM$79)&lt;3),"""",IF(OR(STDEV.S(FILTER(AK$30:AK$79,ISNUMBER($AM$30:$AM$79)))=0,STDEV.S(FILTER($AM$30:$AM$79-AK$30:AK$79,ISNUMBER($AM$30:$AM$79)))=0),""n.a."",CORREL(FILTER(AK$30:AK$79,ISNUMBER($AM"&amp;"$30:$AM$79)),FILTER($AM$30:$AM$79-AK$30:AK$79,ISNUMBER($AM$30:$AM$79)))))"),0.6822357291806026)</f>
        <v>0.6822357292</v>
      </c>
      <c r="AL23" s="41">
        <f>IFERROR(__xludf.DUMMYFUNCTION("IF(OR(OR(NOT(ISNUMBER(AL$13)),AL$13&lt;=0,AL$24&gt;0),COUNT($AM$30:$AM$79)&lt;3),"""",IF(OR(STDEV.S(FILTER(AL$30:AL$79,ISNUMBER($AM$30:$AM$79)))=0,STDEV.S(FILTER($AM$30:$AM$79-AL$30:AL$79,ISNUMBER($AM$30:$AM$79)))=0),""n.a."",CORREL(FILTER(AL$30:AL$79,ISNUMBER($AM"&amp;"$30:$AM$79)),FILTER($AM$30:$AM$79-AL$30:AL$79,ISNUMBER($AM$30:$AM$79)))))"),0.5880607802734278)</f>
        <v>0.5880607803</v>
      </c>
      <c r="AM23" s="42"/>
      <c r="AN23" s="42"/>
      <c r="AO23" s="42"/>
    </row>
    <row r="24">
      <c r="A24" s="32" t="s">
        <v>102</v>
      </c>
      <c r="B24" s="3"/>
      <c r="C24" s="3">
        <f t="shared" ref="C24:AL24" si="10">IF(OR(NOT(ISNUMBER(C$13)),C$13&lt;=0),COUNTA(C$30:C$79),COUNTA(C$30:C$79)-COUNTIFS(C$30:C$79,"&gt;=0",C$30:C$79,"&lt;="&amp;C$13,C$30:C$79,"&lt;&gt;",$A$30:$A$79,"&lt;&gt;"))</f>
        <v>0</v>
      </c>
      <c r="D24" s="36">
        <f t="shared" si="10"/>
        <v>0</v>
      </c>
      <c r="E24" s="3">
        <f t="shared" si="10"/>
        <v>0</v>
      </c>
      <c r="F24" s="3">
        <f t="shared" si="10"/>
        <v>0</v>
      </c>
      <c r="G24" s="3">
        <f t="shared" si="10"/>
        <v>0</v>
      </c>
      <c r="H24" s="3">
        <f t="shared" si="10"/>
        <v>0</v>
      </c>
      <c r="I24" s="3">
        <f t="shared" si="10"/>
        <v>0</v>
      </c>
      <c r="J24" s="3">
        <f t="shared" si="10"/>
        <v>0</v>
      </c>
      <c r="K24" s="3">
        <f t="shared" si="10"/>
        <v>0</v>
      </c>
      <c r="L24" s="3">
        <f t="shared" si="10"/>
        <v>0</v>
      </c>
      <c r="M24" s="3">
        <f t="shared" si="10"/>
        <v>0</v>
      </c>
      <c r="N24" s="3">
        <f t="shared" si="10"/>
        <v>0</v>
      </c>
      <c r="O24" s="3">
        <f t="shared" si="10"/>
        <v>0</v>
      </c>
      <c r="P24" s="3">
        <f t="shared" si="10"/>
        <v>0</v>
      </c>
      <c r="Q24" s="3">
        <f t="shared" si="10"/>
        <v>0</v>
      </c>
      <c r="R24" s="37">
        <f t="shared" si="10"/>
        <v>0</v>
      </c>
      <c r="S24" s="3">
        <f t="shared" si="10"/>
        <v>0</v>
      </c>
      <c r="T24" s="3">
        <f t="shared" si="10"/>
        <v>0</v>
      </c>
      <c r="U24" s="3">
        <f t="shared" si="10"/>
        <v>0</v>
      </c>
      <c r="V24" s="37">
        <f t="shared" si="10"/>
        <v>0</v>
      </c>
      <c r="W24" s="3">
        <f t="shared" si="10"/>
        <v>0</v>
      </c>
      <c r="X24" s="3">
        <f t="shared" si="10"/>
        <v>0</v>
      </c>
      <c r="Y24" s="3">
        <f t="shared" si="10"/>
        <v>0</v>
      </c>
      <c r="Z24" s="3">
        <f t="shared" si="10"/>
        <v>0</v>
      </c>
      <c r="AA24" s="3">
        <f t="shared" si="10"/>
        <v>0</v>
      </c>
      <c r="AB24" s="3">
        <f t="shared" si="10"/>
        <v>0</v>
      </c>
      <c r="AC24" s="3">
        <f t="shared" si="10"/>
        <v>0</v>
      </c>
      <c r="AD24" s="3">
        <f t="shared" si="10"/>
        <v>0</v>
      </c>
      <c r="AE24" s="3">
        <f t="shared" si="10"/>
        <v>0</v>
      </c>
      <c r="AF24" s="3">
        <f t="shared" si="10"/>
        <v>0</v>
      </c>
      <c r="AG24" s="3">
        <f t="shared" si="10"/>
        <v>0</v>
      </c>
      <c r="AH24" s="3">
        <f t="shared" si="10"/>
        <v>0</v>
      </c>
      <c r="AI24" s="3">
        <f t="shared" si="10"/>
        <v>0</v>
      </c>
      <c r="AJ24" s="3">
        <f t="shared" si="10"/>
        <v>0</v>
      </c>
      <c r="AK24" s="3">
        <f t="shared" si="10"/>
        <v>0</v>
      </c>
      <c r="AL24" s="16">
        <f t="shared" si="10"/>
        <v>0</v>
      </c>
      <c r="AN24" s="9"/>
    </row>
    <row r="25">
      <c r="A25" s="46" t="s">
        <v>103</v>
      </c>
      <c r="B25" s="3"/>
      <c r="C25" s="3" t="str">
        <f t="shared" ref="C25:AL25" si="11">IF(C24&gt;0,"Check scores",IF(OR(NOT(ISNUMBER(C$13)),C$13&lt;=0),"Set maximum",IF(C$15=0,"Enter scores","Ready")))</f>
        <v>Ready</v>
      </c>
      <c r="D25" s="36" t="str">
        <f t="shared" si="11"/>
        <v>Ready</v>
      </c>
      <c r="E25" s="3" t="str">
        <f t="shared" si="11"/>
        <v>Ready</v>
      </c>
      <c r="F25" s="3" t="str">
        <f t="shared" si="11"/>
        <v>Ready</v>
      </c>
      <c r="G25" s="3" t="str">
        <f t="shared" si="11"/>
        <v>Ready</v>
      </c>
      <c r="H25" s="3" t="str">
        <f t="shared" si="11"/>
        <v>Ready</v>
      </c>
      <c r="I25" s="3" t="str">
        <f t="shared" si="11"/>
        <v>Ready</v>
      </c>
      <c r="J25" s="3" t="str">
        <f t="shared" si="11"/>
        <v>Ready</v>
      </c>
      <c r="K25" s="3" t="str">
        <f t="shared" si="11"/>
        <v>Ready</v>
      </c>
      <c r="L25" s="3" t="str">
        <f t="shared" si="11"/>
        <v>Ready</v>
      </c>
      <c r="M25" s="3" t="str">
        <f t="shared" si="11"/>
        <v>Ready</v>
      </c>
      <c r="N25" s="3" t="str">
        <f t="shared" si="11"/>
        <v>Ready</v>
      </c>
      <c r="O25" s="3" t="str">
        <f t="shared" si="11"/>
        <v>Ready</v>
      </c>
      <c r="P25" s="3" t="str">
        <f t="shared" si="11"/>
        <v>Ready</v>
      </c>
      <c r="Q25" s="3" t="str">
        <f t="shared" si="11"/>
        <v>Ready</v>
      </c>
      <c r="R25" s="37" t="str">
        <f t="shared" si="11"/>
        <v>Ready</v>
      </c>
      <c r="S25" s="3" t="str">
        <f t="shared" si="11"/>
        <v>Ready</v>
      </c>
      <c r="T25" s="3" t="str">
        <f t="shared" si="11"/>
        <v>Ready</v>
      </c>
      <c r="U25" s="3" t="str">
        <f t="shared" si="11"/>
        <v>Ready</v>
      </c>
      <c r="V25" s="37" t="str">
        <f t="shared" si="11"/>
        <v>Ready</v>
      </c>
      <c r="W25" s="3" t="str">
        <f t="shared" si="11"/>
        <v>Ready</v>
      </c>
      <c r="X25" s="3" t="str">
        <f t="shared" si="11"/>
        <v>Ready</v>
      </c>
      <c r="Y25" s="3" t="str">
        <f t="shared" si="11"/>
        <v>Ready</v>
      </c>
      <c r="Z25" s="3" t="str">
        <f t="shared" si="11"/>
        <v>Ready</v>
      </c>
      <c r="AA25" s="3" t="str">
        <f t="shared" si="11"/>
        <v>Ready</v>
      </c>
      <c r="AB25" s="3" t="str">
        <f t="shared" si="11"/>
        <v>Ready</v>
      </c>
      <c r="AC25" s="3" t="str">
        <f t="shared" si="11"/>
        <v>Ready</v>
      </c>
      <c r="AD25" s="3" t="str">
        <f t="shared" si="11"/>
        <v>Ready</v>
      </c>
      <c r="AE25" s="3" t="str">
        <f t="shared" si="11"/>
        <v>Ready</v>
      </c>
      <c r="AF25" s="3" t="str">
        <f t="shared" si="11"/>
        <v>Ready</v>
      </c>
      <c r="AG25" s="3" t="str">
        <f t="shared" si="11"/>
        <v>Ready</v>
      </c>
      <c r="AH25" s="3" t="str">
        <f t="shared" si="11"/>
        <v>Ready</v>
      </c>
      <c r="AI25" s="3" t="str">
        <f t="shared" si="11"/>
        <v>Ready</v>
      </c>
      <c r="AJ25" s="3" t="str">
        <f t="shared" si="11"/>
        <v>Ready</v>
      </c>
      <c r="AK25" s="3" t="str">
        <f t="shared" si="11"/>
        <v>Ready</v>
      </c>
      <c r="AL25" s="16" t="str">
        <f t="shared" si="11"/>
        <v>Ready</v>
      </c>
      <c r="AN25" s="9"/>
    </row>
    <row r="26">
      <c r="A26" s="47" t="s">
        <v>104</v>
      </c>
      <c r="B26" s="19"/>
      <c r="C26" s="18" t="s">
        <v>105</v>
      </c>
      <c r="D26" s="48" t="s">
        <v>106</v>
      </c>
      <c r="E26" s="18" t="s">
        <v>105</v>
      </c>
      <c r="F26" s="18" t="s">
        <v>105</v>
      </c>
      <c r="G26" s="18" t="s">
        <v>105</v>
      </c>
      <c r="H26" s="18" t="s">
        <v>105</v>
      </c>
      <c r="I26" s="18" t="s">
        <v>105</v>
      </c>
      <c r="J26" s="18" t="s">
        <v>105</v>
      </c>
      <c r="K26" s="18" t="s">
        <v>105</v>
      </c>
      <c r="L26" s="18" t="s">
        <v>105</v>
      </c>
      <c r="M26" s="18" t="s">
        <v>105</v>
      </c>
      <c r="N26" s="18" t="s">
        <v>105</v>
      </c>
      <c r="O26" s="18" t="s">
        <v>105</v>
      </c>
      <c r="P26" s="18" t="s">
        <v>105</v>
      </c>
      <c r="Q26" s="18" t="s">
        <v>105</v>
      </c>
      <c r="R26" s="49" t="s">
        <v>107</v>
      </c>
      <c r="S26" s="18" t="s">
        <v>105</v>
      </c>
      <c r="T26" s="18" t="s">
        <v>105</v>
      </c>
      <c r="U26" s="18" t="s">
        <v>105</v>
      </c>
      <c r="V26" s="49" t="s">
        <v>107</v>
      </c>
      <c r="W26" s="18" t="s">
        <v>105</v>
      </c>
      <c r="X26" s="18" t="s">
        <v>105</v>
      </c>
      <c r="Y26" s="18" t="s">
        <v>105</v>
      </c>
      <c r="Z26" s="18" t="s">
        <v>105</v>
      </c>
      <c r="AA26" s="18" t="s">
        <v>105</v>
      </c>
      <c r="AB26" s="18" t="s">
        <v>105</v>
      </c>
      <c r="AC26" s="18" t="s">
        <v>105</v>
      </c>
      <c r="AD26" s="18" t="s">
        <v>105</v>
      </c>
      <c r="AE26" s="18" t="s">
        <v>105</v>
      </c>
      <c r="AF26" s="18" t="s">
        <v>105</v>
      </c>
      <c r="AG26" s="18" t="s">
        <v>105</v>
      </c>
      <c r="AH26" s="18" t="s">
        <v>105</v>
      </c>
      <c r="AI26" s="18" t="s">
        <v>105</v>
      </c>
      <c r="AJ26" s="18" t="s">
        <v>105</v>
      </c>
      <c r="AK26" s="18" t="s">
        <v>105</v>
      </c>
      <c r="AL26" s="18" t="s">
        <v>105</v>
      </c>
      <c r="AN26" s="9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6"/>
      <c r="AO27" s="3"/>
    </row>
    <row r="28">
      <c r="A28" s="2" t="s">
        <v>108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6"/>
      <c r="AO28" s="3"/>
    </row>
    <row r="29">
      <c r="A29" s="10" t="s">
        <v>109</v>
      </c>
      <c r="B29" s="12" t="s">
        <v>110</v>
      </c>
      <c r="C29" s="27" t="str">
        <f t="shared" ref="C29:AL29" si="12">C12</f>
        <v>A-MC1</v>
      </c>
      <c r="D29" s="27" t="str">
        <f t="shared" si="12"/>
        <v>A-MC2</v>
      </c>
      <c r="E29" s="27" t="str">
        <f t="shared" si="12"/>
        <v>A-MC3</v>
      </c>
      <c r="F29" s="27" t="str">
        <f t="shared" si="12"/>
        <v>A-MC4</v>
      </c>
      <c r="G29" s="27" t="str">
        <f t="shared" si="12"/>
        <v>A-MC5</v>
      </c>
      <c r="H29" s="27" t="str">
        <f t="shared" si="12"/>
        <v>A-MC6</v>
      </c>
      <c r="I29" s="27" t="str">
        <f t="shared" si="12"/>
        <v>A-MC7</v>
      </c>
      <c r="J29" s="27" t="str">
        <f t="shared" si="12"/>
        <v>A-MC8</v>
      </c>
      <c r="K29" s="27" t="str">
        <f t="shared" si="12"/>
        <v>A-MC9</v>
      </c>
      <c r="L29" s="27" t="str">
        <f t="shared" si="12"/>
        <v>A-MC10</v>
      </c>
      <c r="M29" s="27" t="str">
        <f t="shared" si="12"/>
        <v>A-MC11</v>
      </c>
      <c r="N29" s="27" t="str">
        <f t="shared" si="12"/>
        <v>A-MC12</v>
      </c>
      <c r="O29" s="27" t="str">
        <f t="shared" si="12"/>
        <v>A-MC13</v>
      </c>
      <c r="P29" s="27" t="str">
        <f t="shared" si="12"/>
        <v>A-MC14</v>
      </c>
      <c r="Q29" s="27" t="str">
        <f t="shared" si="12"/>
        <v>A-MC15</v>
      </c>
      <c r="R29" s="27" t="str">
        <f t="shared" si="12"/>
        <v>A-MC16</v>
      </c>
      <c r="S29" s="27" t="str">
        <f t="shared" si="12"/>
        <v>A-MC17</v>
      </c>
      <c r="T29" s="27" t="str">
        <f t="shared" si="12"/>
        <v>A-NR1</v>
      </c>
      <c r="U29" s="27" t="str">
        <f t="shared" si="12"/>
        <v>A-NR2</v>
      </c>
      <c r="V29" s="27" t="str">
        <f t="shared" si="12"/>
        <v>A-NR3</v>
      </c>
      <c r="W29" s="27" t="str">
        <f t="shared" si="12"/>
        <v>B-MC1</v>
      </c>
      <c r="X29" s="27" t="str">
        <f t="shared" si="12"/>
        <v>B-MC2</v>
      </c>
      <c r="Y29" s="27" t="str">
        <f t="shared" si="12"/>
        <v>B-MC3</v>
      </c>
      <c r="Z29" s="27" t="str">
        <f t="shared" si="12"/>
        <v>B-MC4</v>
      </c>
      <c r="AA29" s="27" t="str">
        <f t="shared" si="12"/>
        <v>B-MC5</v>
      </c>
      <c r="AB29" s="27" t="str">
        <f t="shared" si="12"/>
        <v>B-MC6</v>
      </c>
      <c r="AC29" s="27" t="str">
        <f t="shared" si="12"/>
        <v>B-MC7</v>
      </c>
      <c r="AD29" s="27" t="str">
        <f t="shared" si="12"/>
        <v>B-MC8</v>
      </c>
      <c r="AE29" s="27" t="str">
        <f t="shared" si="12"/>
        <v>B-MC9</v>
      </c>
      <c r="AF29" s="27" t="str">
        <f t="shared" si="12"/>
        <v>B-NR1</v>
      </c>
      <c r="AG29" s="27" t="str">
        <f t="shared" si="12"/>
        <v>B-NR2</v>
      </c>
      <c r="AH29" s="27" t="str">
        <f t="shared" si="12"/>
        <v>B-NR3</v>
      </c>
      <c r="AI29" s="27" t="str">
        <f t="shared" si="12"/>
        <v>B-WR1</v>
      </c>
      <c r="AJ29" s="27" t="str">
        <f t="shared" si="12"/>
        <v>B-WR2</v>
      </c>
      <c r="AK29" s="27" t="str">
        <f t="shared" si="12"/>
        <v>B-WR3</v>
      </c>
      <c r="AL29" s="27" t="str">
        <f t="shared" si="12"/>
        <v>B-WR4</v>
      </c>
      <c r="AM29" s="12" t="s">
        <v>111</v>
      </c>
      <c r="AN29" s="50" t="s">
        <v>17</v>
      </c>
      <c r="AO29" s="13" t="s">
        <v>112</v>
      </c>
    </row>
    <row r="30">
      <c r="A30" s="51">
        <f>IF(ExponentsPractic_pst!A9="","",ExponentsPractic_pst!A9)</f>
        <v>26281</v>
      </c>
      <c r="B30" s="3" t="str">
        <f>IF(ExponentsPractic_pst!B9="","",ExponentsPractic_pst!B9)</f>
        <v>Annicchiarico, Cohen</v>
      </c>
      <c r="C30" s="2">
        <v>1.0</v>
      </c>
      <c r="D30" s="2">
        <v>1.0</v>
      </c>
      <c r="E30" s="2">
        <v>1.0</v>
      </c>
      <c r="F30" s="2">
        <v>1.0</v>
      </c>
      <c r="G30" s="2">
        <v>1.0</v>
      </c>
      <c r="H30" s="2">
        <v>1.0</v>
      </c>
      <c r="I30" s="2">
        <v>1.0</v>
      </c>
      <c r="J30" s="2">
        <v>1.0</v>
      </c>
      <c r="K30" s="2">
        <v>0.0</v>
      </c>
      <c r="L30" s="2">
        <v>1.0</v>
      </c>
      <c r="M30" s="2">
        <v>1.0</v>
      </c>
      <c r="N30" s="2">
        <v>1.0</v>
      </c>
      <c r="O30" s="2">
        <v>1.0</v>
      </c>
      <c r="P30" s="2">
        <v>1.0</v>
      </c>
      <c r="Q30" s="2">
        <v>1.0</v>
      </c>
      <c r="R30" s="2">
        <v>0.0</v>
      </c>
      <c r="S30" s="2">
        <v>1.0</v>
      </c>
      <c r="T30" s="2">
        <v>2.0</v>
      </c>
      <c r="U30" s="2">
        <v>0.0</v>
      </c>
      <c r="V30" s="2">
        <v>0.0</v>
      </c>
      <c r="W30" s="2">
        <v>1.0</v>
      </c>
      <c r="X30" s="2">
        <v>1.0</v>
      </c>
      <c r="Y30" s="2">
        <v>0.0</v>
      </c>
      <c r="Z30" s="2">
        <v>0.0</v>
      </c>
      <c r="AA30" s="2">
        <v>1.0</v>
      </c>
      <c r="AB30" s="2">
        <v>1.0</v>
      </c>
      <c r="AC30" s="2">
        <v>1.0</v>
      </c>
      <c r="AD30" s="2">
        <v>1.0</v>
      </c>
      <c r="AE30" s="2">
        <v>1.0</v>
      </c>
      <c r="AF30" s="2">
        <v>0.0</v>
      </c>
      <c r="AG30" s="2">
        <v>2.0</v>
      </c>
      <c r="AH30" s="2">
        <v>0.0</v>
      </c>
      <c r="AI30" s="2">
        <v>1.0</v>
      </c>
      <c r="AJ30" s="2">
        <v>1.0</v>
      </c>
      <c r="AK30" s="2">
        <v>0.0</v>
      </c>
      <c r="AL30" s="2">
        <v>2.0</v>
      </c>
      <c r="AM30" s="3">
        <f t="shared" ref="AM30:AM79" si="13">IF(OR($A30="",$B$9&lt;&gt;36,COUNT(C30:AL30)&lt;&gt;36,AO30&gt;0),"",SUM(C30:AL30))</f>
        <v>30</v>
      </c>
      <c r="AN30" s="52">
        <f t="shared" ref="AN30:AN79" si="14">IF(ISNUMBER(AM30),AM30/$D$9,"")</f>
        <v>0.625</v>
      </c>
      <c r="AO30" s="16">
        <f t="shared" ref="AO30:AO79" si="15">IF(AND($A30="",COUNTA(C30:AL30)=0),"",IF($A30="",COUNTA(C30:AL30),COUNTA(C30:AL30)-SUMPRODUCT(--ISNUMBER(C30:AL30),--ISNUMBER($C$13:$AL$13),--($C$13:$AL$13&gt;0),--(C30:AL30&gt;=0),--(C30:AL30&lt;=$C$13:$AL$13))))</f>
        <v>0</v>
      </c>
    </row>
    <row r="31">
      <c r="A31" s="51">
        <f>IF(ExponentsPractic_pst!A10="","",ExponentsPractic_pst!A10)</f>
        <v>26285</v>
      </c>
      <c r="B31" s="3" t="str">
        <f>IF(ExponentsPractic_pst!B10="","",ExponentsPractic_pst!B10)</f>
        <v>Butcher, AJ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2">
        <v>1.0</v>
      </c>
      <c r="I31" s="2">
        <v>1.0</v>
      </c>
      <c r="J31" s="2">
        <v>0.0</v>
      </c>
      <c r="K31" s="2">
        <v>0.0</v>
      </c>
      <c r="L31" s="2">
        <v>0.0</v>
      </c>
      <c r="M31" s="2">
        <v>1.0</v>
      </c>
      <c r="N31" s="2">
        <v>0.0</v>
      </c>
      <c r="O31" s="2">
        <v>1.0</v>
      </c>
      <c r="P31" s="2">
        <v>1.0</v>
      </c>
      <c r="Q31" s="2">
        <v>1.0</v>
      </c>
      <c r="R31" s="2">
        <v>0.0</v>
      </c>
      <c r="S31" s="2">
        <v>1.0</v>
      </c>
      <c r="T31" s="2">
        <v>2.0</v>
      </c>
      <c r="U31" s="2">
        <v>2.0</v>
      </c>
      <c r="V31" s="2">
        <v>0.0</v>
      </c>
      <c r="W31" s="2">
        <v>1.0</v>
      </c>
      <c r="X31" s="2">
        <v>1.0</v>
      </c>
      <c r="Y31" s="2">
        <v>1.0</v>
      </c>
      <c r="Z31" s="2">
        <v>0.0</v>
      </c>
      <c r="AA31" s="2">
        <v>1.0</v>
      </c>
      <c r="AB31" s="2">
        <v>1.0</v>
      </c>
      <c r="AC31" s="2">
        <v>1.0</v>
      </c>
      <c r="AD31" s="2">
        <v>1.0</v>
      </c>
      <c r="AE31" s="2">
        <v>1.0</v>
      </c>
      <c r="AF31" s="2">
        <v>2.0</v>
      </c>
      <c r="AG31" s="2">
        <v>2.0</v>
      </c>
      <c r="AH31" s="2">
        <v>1.0</v>
      </c>
      <c r="AI31" s="2">
        <v>0.5</v>
      </c>
      <c r="AJ31" s="2">
        <v>0.0</v>
      </c>
      <c r="AK31" s="2">
        <v>2.0</v>
      </c>
      <c r="AL31" s="2">
        <v>2.0</v>
      </c>
      <c r="AM31" s="3">
        <f t="shared" si="13"/>
        <v>28.5</v>
      </c>
      <c r="AN31" s="52">
        <f t="shared" si="14"/>
        <v>0.59375</v>
      </c>
      <c r="AO31" s="16">
        <f t="shared" si="15"/>
        <v>0</v>
      </c>
    </row>
    <row r="32">
      <c r="A32" s="51">
        <f>IF(ExponentsPractic_pst!A11="","",ExponentsPractic_pst!A11)</f>
        <v>37905</v>
      </c>
      <c r="B32" s="3" t="str">
        <f>IF(ExponentsPractic_pst!B11="","",ExponentsPractic_pst!B11)</f>
        <v>Crann, Meekyo</v>
      </c>
      <c r="C32" s="2">
        <v>0.0</v>
      </c>
      <c r="D32" s="2">
        <v>1.0</v>
      </c>
      <c r="E32" s="2">
        <v>0.0</v>
      </c>
      <c r="F32" s="2">
        <v>1.0</v>
      </c>
      <c r="G32" s="2">
        <v>0.0</v>
      </c>
      <c r="H32" s="2">
        <v>1.0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1.0</v>
      </c>
      <c r="O32" s="2">
        <v>0.0</v>
      </c>
      <c r="P32" s="2">
        <v>1.0</v>
      </c>
      <c r="Q32" s="2">
        <v>1.0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1.0</v>
      </c>
      <c r="AB32" s="2">
        <v>0.0</v>
      </c>
      <c r="AC32" s="2">
        <v>1.0</v>
      </c>
      <c r="AD32" s="2">
        <v>0.0</v>
      </c>
      <c r="AE32" s="2">
        <v>0.0</v>
      </c>
      <c r="AF32" s="2">
        <v>1.0</v>
      </c>
      <c r="AG32" s="2">
        <v>0.0</v>
      </c>
      <c r="AH32" s="2">
        <v>2.0</v>
      </c>
      <c r="AI32" s="2">
        <v>0.0</v>
      </c>
      <c r="AJ32" s="2">
        <v>0.0</v>
      </c>
      <c r="AK32" s="2">
        <v>0.0</v>
      </c>
      <c r="AL32" s="2">
        <v>1.0</v>
      </c>
      <c r="AM32" s="3">
        <f t="shared" si="13"/>
        <v>12</v>
      </c>
      <c r="AN32" s="52">
        <f t="shared" si="14"/>
        <v>0.25</v>
      </c>
      <c r="AO32" s="16">
        <f t="shared" si="15"/>
        <v>0</v>
      </c>
    </row>
    <row r="33">
      <c r="A33" s="51">
        <f>IF(ExponentsPractic_pst!A12="","",ExponentsPractic_pst!A12)</f>
        <v>28574</v>
      </c>
      <c r="B33" s="3" t="str">
        <f>IF(ExponentsPractic_pst!B12="","",ExponentsPractic_pst!B12)</f>
        <v>Dahl, Jake</v>
      </c>
      <c r="C33" s="2">
        <v>0.0</v>
      </c>
      <c r="D33" s="2">
        <v>0.0</v>
      </c>
      <c r="E33" s="2">
        <v>0.0</v>
      </c>
      <c r="F33" s="2">
        <v>1.0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1.0</v>
      </c>
      <c r="N33" s="2">
        <v>1.0</v>
      </c>
      <c r="O33" s="2">
        <v>1.0</v>
      </c>
      <c r="P33" s="2">
        <v>1.0</v>
      </c>
      <c r="Q33" s="2">
        <v>1.0</v>
      </c>
      <c r="R33" s="2">
        <v>0.0</v>
      </c>
      <c r="S33" s="2">
        <v>1.0</v>
      </c>
      <c r="T33" s="2">
        <v>0.0</v>
      </c>
      <c r="U33" s="2">
        <v>0.0</v>
      </c>
      <c r="V33" s="2">
        <v>0.0</v>
      </c>
      <c r="W33" s="2">
        <v>1.0</v>
      </c>
      <c r="X33" s="2">
        <v>0.0</v>
      </c>
      <c r="Y33" s="2">
        <v>0.0</v>
      </c>
      <c r="Z33" s="2">
        <v>0.0</v>
      </c>
      <c r="AA33" s="2">
        <v>1.0</v>
      </c>
      <c r="AB33" s="2">
        <v>1.0</v>
      </c>
      <c r="AC33" s="2">
        <v>1.0</v>
      </c>
      <c r="AD33" s="2">
        <v>1.0</v>
      </c>
      <c r="AE33" s="2">
        <v>1.0</v>
      </c>
      <c r="AF33" s="2">
        <v>1.0</v>
      </c>
      <c r="AG33" s="2">
        <v>2.0</v>
      </c>
      <c r="AH33" s="2">
        <v>3.0</v>
      </c>
      <c r="AI33" s="2">
        <v>1.0</v>
      </c>
      <c r="AJ33" s="2">
        <v>0.0</v>
      </c>
      <c r="AK33" s="2">
        <v>0.0</v>
      </c>
      <c r="AL33" s="2">
        <v>2.0</v>
      </c>
      <c r="AM33" s="3">
        <f t="shared" si="13"/>
        <v>22</v>
      </c>
      <c r="AN33" s="52">
        <f t="shared" si="14"/>
        <v>0.4583333333</v>
      </c>
      <c r="AO33" s="16">
        <f t="shared" si="15"/>
        <v>0</v>
      </c>
    </row>
    <row r="34">
      <c r="A34" s="51">
        <f>IF(ExponentsPractic_pst!A13="","",ExponentsPractic_pst!A13)</f>
        <v>26288</v>
      </c>
      <c r="B34" s="3" t="str">
        <f>IF(ExponentsPractic_pst!B13="","",ExponentsPractic_pst!B13)</f>
        <v>Dick, Calder</v>
      </c>
      <c r="C34" s="2">
        <v>1.0</v>
      </c>
      <c r="D34" s="2">
        <v>1.0</v>
      </c>
      <c r="E34" s="2">
        <v>1.0</v>
      </c>
      <c r="F34" s="2">
        <v>1.0</v>
      </c>
      <c r="G34" s="2">
        <v>1.0</v>
      </c>
      <c r="H34" s="2">
        <v>1.0</v>
      </c>
      <c r="I34" s="2">
        <v>0.0</v>
      </c>
      <c r="J34" s="2">
        <v>1.0</v>
      </c>
      <c r="K34" s="2">
        <v>0.0</v>
      </c>
      <c r="L34" s="2">
        <v>1.0</v>
      </c>
      <c r="M34" s="2">
        <v>1.0</v>
      </c>
      <c r="N34" s="2">
        <v>0.0</v>
      </c>
      <c r="O34" s="2">
        <v>1.0</v>
      </c>
      <c r="P34" s="2">
        <v>1.0</v>
      </c>
      <c r="Q34" s="2">
        <v>1.0</v>
      </c>
      <c r="R34" s="2">
        <v>1.0</v>
      </c>
      <c r="S34" s="2">
        <v>1.0</v>
      </c>
      <c r="T34" s="2">
        <v>2.0</v>
      </c>
      <c r="U34" s="2">
        <v>0.0</v>
      </c>
      <c r="V34" s="2">
        <v>2.0</v>
      </c>
      <c r="W34" s="2">
        <v>1.0</v>
      </c>
      <c r="X34" s="2">
        <v>1.0</v>
      </c>
      <c r="Y34" s="2">
        <v>0.0</v>
      </c>
      <c r="Z34" s="2">
        <v>1.0</v>
      </c>
      <c r="AA34" s="2">
        <v>1.0</v>
      </c>
      <c r="AB34" s="2">
        <v>1.0</v>
      </c>
      <c r="AC34" s="2">
        <v>1.0</v>
      </c>
      <c r="AD34" s="2">
        <v>1.0</v>
      </c>
      <c r="AE34" s="2">
        <v>1.0</v>
      </c>
      <c r="AF34" s="2">
        <v>3.0</v>
      </c>
      <c r="AG34" s="2">
        <v>2.0</v>
      </c>
      <c r="AH34" s="2">
        <v>2.0</v>
      </c>
      <c r="AI34" s="2">
        <v>1.0</v>
      </c>
      <c r="AJ34" s="2">
        <v>1.0</v>
      </c>
      <c r="AK34" s="2">
        <v>2.0</v>
      </c>
      <c r="AL34" s="2">
        <v>2.0</v>
      </c>
      <c r="AM34" s="3">
        <f t="shared" si="13"/>
        <v>39</v>
      </c>
      <c r="AN34" s="52">
        <f t="shared" si="14"/>
        <v>0.8125</v>
      </c>
      <c r="AO34" s="16">
        <f t="shared" si="15"/>
        <v>0</v>
      </c>
    </row>
    <row r="35">
      <c r="A35" s="51">
        <f>IF(ExponentsPractic_pst!A14="","",ExponentsPractic_pst!A14)</f>
        <v>26289</v>
      </c>
      <c r="B35" s="3" t="str">
        <f>IF(ExponentsPractic_pst!B14="","",ExponentsPractic_pst!B14)</f>
        <v>Ewanchuk, Brayden</v>
      </c>
      <c r="C35" s="2">
        <v>1.0</v>
      </c>
      <c r="D35" s="2">
        <v>0.0</v>
      </c>
      <c r="E35" s="2">
        <v>1.0</v>
      </c>
      <c r="F35" s="2">
        <v>0.0</v>
      </c>
      <c r="G35" s="2">
        <v>1.0</v>
      </c>
      <c r="H35" s="2">
        <v>0.0</v>
      </c>
      <c r="I35" s="2">
        <v>0.0</v>
      </c>
      <c r="J35" s="2">
        <v>1.0</v>
      </c>
      <c r="K35" s="2">
        <v>0.0</v>
      </c>
      <c r="L35" s="2">
        <v>0.0</v>
      </c>
      <c r="M35" s="2">
        <v>1.0</v>
      </c>
      <c r="N35" s="2">
        <v>1.0</v>
      </c>
      <c r="O35" s="2">
        <v>1.0</v>
      </c>
      <c r="P35" s="2">
        <v>1.0</v>
      </c>
      <c r="Q35" s="2">
        <v>1.0</v>
      </c>
      <c r="R35" s="2">
        <v>0.0</v>
      </c>
      <c r="S35" s="2">
        <v>1.0</v>
      </c>
      <c r="T35" s="2">
        <v>2.0</v>
      </c>
      <c r="U35" s="2">
        <v>2.0</v>
      </c>
      <c r="V35" s="2">
        <v>0.0</v>
      </c>
      <c r="W35" s="2">
        <v>1.0</v>
      </c>
      <c r="X35" s="2">
        <v>0.0</v>
      </c>
      <c r="Y35" s="2">
        <v>0.0</v>
      </c>
      <c r="Z35" s="2">
        <v>0.0</v>
      </c>
      <c r="AA35" s="2">
        <v>1.0</v>
      </c>
      <c r="AB35" s="2">
        <v>0.0</v>
      </c>
      <c r="AC35" s="2">
        <v>1.0</v>
      </c>
      <c r="AD35" s="2">
        <v>1.0</v>
      </c>
      <c r="AE35" s="2">
        <v>1.0</v>
      </c>
      <c r="AF35" s="2">
        <v>2.0</v>
      </c>
      <c r="AG35" s="2">
        <v>2.0</v>
      </c>
      <c r="AH35" s="2">
        <v>2.0</v>
      </c>
      <c r="AI35" s="2">
        <v>0.5</v>
      </c>
      <c r="AJ35" s="2">
        <v>2.5</v>
      </c>
      <c r="AK35" s="2">
        <v>2.0</v>
      </c>
      <c r="AL35" s="2">
        <v>2.0</v>
      </c>
      <c r="AM35" s="3">
        <f t="shared" si="13"/>
        <v>32</v>
      </c>
      <c r="AN35" s="52">
        <f t="shared" si="14"/>
        <v>0.6666666667</v>
      </c>
      <c r="AO35" s="16">
        <f t="shared" si="15"/>
        <v>0</v>
      </c>
    </row>
    <row r="36">
      <c r="A36" s="51">
        <f>IF(ExponentsPractic_pst!A15="","",ExponentsPractic_pst!A15)</f>
        <v>36672</v>
      </c>
      <c r="B36" s="3" t="str">
        <f>IF(ExponentsPractic_pst!B15="","",ExponentsPractic_pst!B15)</f>
        <v>Fulkerth, Hunter</v>
      </c>
      <c r="C36" s="2">
        <v>1.0</v>
      </c>
      <c r="D36" s="2">
        <v>0.0</v>
      </c>
      <c r="E36" s="2">
        <v>1.0</v>
      </c>
      <c r="F36" s="2">
        <v>1.0</v>
      </c>
      <c r="G36" s="2">
        <v>1.0</v>
      </c>
      <c r="H36" s="2">
        <v>0.0</v>
      </c>
      <c r="I36" s="2">
        <v>1.0</v>
      </c>
      <c r="J36" s="2">
        <v>0.0</v>
      </c>
      <c r="K36" s="2">
        <v>1.0</v>
      </c>
      <c r="L36" s="2">
        <v>1.0</v>
      </c>
      <c r="M36" s="2">
        <v>1.0</v>
      </c>
      <c r="N36" s="2">
        <v>1.0</v>
      </c>
      <c r="O36" s="2">
        <v>1.0</v>
      </c>
      <c r="P36" s="2">
        <v>1.0</v>
      </c>
      <c r="Q36" s="2">
        <v>1.0</v>
      </c>
      <c r="R36" s="2">
        <v>0.0</v>
      </c>
      <c r="S36" s="2">
        <v>1.0</v>
      </c>
      <c r="T36" s="2">
        <v>1.0</v>
      </c>
      <c r="U36" s="2">
        <v>1.0</v>
      </c>
      <c r="V36" s="2">
        <v>2.0</v>
      </c>
      <c r="W36" s="2">
        <v>1.0</v>
      </c>
      <c r="X36" s="2">
        <v>1.0</v>
      </c>
      <c r="Y36" s="2">
        <v>0.0</v>
      </c>
      <c r="Z36" s="2">
        <v>1.0</v>
      </c>
      <c r="AA36" s="2">
        <v>1.0</v>
      </c>
      <c r="AB36" s="2">
        <v>1.0</v>
      </c>
      <c r="AC36" s="2">
        <v>1.0</v>
      </c>
      <c r="AD36" s="2">
        <v>1.0</v>
      </c>
      <c r="AE36" s="2">
        <v>0.0</v>
      </c>
      <c r="AF36" s="2">
        <v>1.0</v>
      </c>
      <c r="AG36" s="2">
        <v>2.0</v>
      </c>
      <c r="AH36" s="2">
        <v>2.0</v>
      </c>
      <c r="AI36" s="2">
        <v>0.5</v>
      </c>
      <c r="AJ36" s="2">
        <v>0.0</v>
      </c>
      <c r="AK36" s="2">
        <v>1.0</v>
      </c>
      <c r="AL36" s="2">
        <v>2.0</v>
      </c>
      <c r="AM36" s="3">
        <f t="shared" si="13"/>
        <v>32.5</v>
      </c>
      <c r="AN36" s="52">
        <f t="shared" si="14"/>
        <v>0.6770833333</v>
      </c>
      <c r="AO36" s="16">
        <f t="shared" si="15"/>
        <v>0</v>
      </c>
    </row>
    <row r="37">
      <c r="A37" s="51">
        <f>IF(ExponentsPractic_pst!A16="","",ExponentsPractic_pst!A16)</f>
        <v>24820</v>
      </c>
      <c r="B37" s="3" t="str">
        <f>IF(ExponentsPractic_pst!B16="","",ExponentsPractic_pst!B16)</f>
        <v>Grimsdale, Charles</v>
      </c>
      <c r="C37" s="2">
        <v>1.0</v>
      </c>
      <c r="D37" s="2">
        <v>1.0</v>
      </c>
      <c r="E37" s="2">
        <v>1.0</v>
      </c>
      <c r="F37" s="2">
        <v>1.0</v>
      </c>
      <c r="G37" s="2">
        <v>1.0</v>
      </c>
      <c r="H37" s="2">
        <v>1.0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1.0</v>
      </c>
      <c r="P37" s="2">
        <v>1.0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1.0</v>
      </c>
      <c r="X37" s="2">
        <v>1.0</v>
      </c>
      <c r="Y37" s="2">
        <v>0.0</v>
      </c>
      <c r="Z37" s="2">
        <v>0.0</v>
      </c>
      <c r="AA37" s="2">
        <v>1.0</v>
      </c>
      <c r="AB37" s="2">
        <v>1.0</v>
      </c>
      <c r="AC37" s="2">
        <v>1.0</v>
      </c>
      <c r="AD37" s="2">
        <v>1.0</v>
      </c>
      <c r="AE37" s="2">
        <v>1.0</v>
      </c>
      <c r="AF37" s="2">
        <v>2.0</v>
      </c>
      <c r="AG37" s="2">
        <v>0.0</v>
      </c>
      <c r="AH37" s="2">
        <v>0.0</v>
      </c>
      <c r="AI37" s="2">
        <v>0.5</v>
      </c>
      <c r="AJ37" s="2">
        <v>3.0</v>
      </c>
      <c r="AK37" s="2">
        <v>0.0</v>
      </c>
      <c r="AL37" s="2">
        <v>2.0</v>
      </c>
      <c r="AM37" s="3">
        <f t="shared" si="13"/>
        <v>22.5</v>
      </c>
      <c r="AN37" s="52">
        <f t="shared" si="14"/>
        <v>0.46875</v>
      </c>
      <c r="AO37" s="16">
        <f t="shared" si="15"/>
        <v>0</v>
      </c>
    </row>
    <row r="38">
      <c r="A38" s="53">
        <f>IF(ExponentsPractic_pst!A17="","",ExponentsPractic_pst!A17)</f>
        <v>30685</v>
      </c>
      <c r="B38" s="54" t="str">
        <f>IF(ExponentsPractic_pst!B17="","",ExponentsPractic_pst!B17)</f>
        <v>Gudge, Hudson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 t="str">
        <f t="shared" si="13"/>
        <v/>
      </c>
      <c r="AN38" s="55" t="str">
        <f t="shared" si="14"/>
        <v/>
      </c>
      <c r="AO38" s="56">
        <f t="shared" si="15"/>
        <v>0</v>
      </c>
    </row>
    <row r="39">
      <c r="A39" s="51">
        <f>IF(ExponentsPractic_pst!A18="","",ExponentsPractic_pst!A18)</f>
        <v>26293</v>
      </c>
      <c r="B39" s="3" t="str">
        <f>IF(ExponentsPractic_pst!B18="","",ExponentsPractic_pst!B18)</f>
        <v>Hrynyk, Hallie</v>
      </c>
      <c r="C39" s="2">
        <v>1.0</v>
      </c>
      <c r="D39" s="2">
        <v>0.0</v>
      </c>
      <c r="E39" s="2">
        <v>1.0</v>
      </c>
      <c r="F39" s="2">
        <v>1.0</v>
      </c>
      <c r="G39" s="2">
        <v>0.0</v>
      </c>
      <c r="H39" s="2">
        <v>1.0</v>
      </c>
      <c r="I39" s="2">
        <v>1.0</v>
      </c>
      <c r="J39" s="2">
        <v>1.0</v>
      </c>
      <c r="K39" s="2">
        <v>0.0</v>
      </c>
      <c r="L39" s="2">
        <v>1.0</v>
      </c>
      <c r="M39" s="2">
        <v>1.0</v>
      </c>
      <c r="N39" s="2">
        <v>0.0</v>
      </c>
      <c r="O39" s="2">
        <v>1.0</v>
      </c>
      <c r="P39" s="2">
        <v>0.0</v>
      </c>
      <c r="Q39" s="2">
        <v>1.0</v>
      </c>
      <c r="R39" s="2">
        <v>0.0</v>
      </c>
      <c r="S39" s="2">
        <v>1.0</v>
      </c>
      <c r="T39" s="2">
        <v>2.0</v>
      </c>
      <c r="U39" s="2">
        <v>2.0</v>
      </c>
      <c r="V39" s="2">
        <v>0.0</v>
      </c>
      <c r="W39" s="2">
        <v>1.0</v>
      </c>
      <c r="X39" s="2">
        <v>1.0</v>
      </c>
      <c r="Y39" s="2">
        <v>1.0</v>
      </c>
      <c r="Z39" s="2">
        <v>0.0</v>
      </c>
      <c r="AA39" s="2">
        <v>1.0</v>
      </c>
      <c r="AB39" s="2">
        <v>1.0</v>
      </c>
      <c r="AC39" s="2">
        <v>1.0</v>
      </c>
      <c r="AD39" s="2">
        <v>1.0</v>
      </c>
      <c r="AE39" s="2">
        <v>1.0</v>
      </c>
      <c r="AF39" s="2">
        <v>2.0</v>
      </c>
      <c r="AG39" s="2">
        <v>2.0</v>
      </c>
      <c r="AH39" s="2">
        <v>2.0</v>
      </c>
      <c r="AI39" s="2">
        <v>0.5</v>
      </c>
      <c r="AJ39" s="2">
        <v>0.0</v>
      </c>
      <c r="AK39" s="2">
        <v>2.0</v>
      </c>
      <c r="AL39" s="2">
        <v>2.0</v>
      </c>
      <c r="AM39" s="3">
        <f t="shared" si="13"/>
        <v>33.5</v>
      </c>
      <c r="AN39" s="52">
        <f t="shared" si="14"/>
        <v>0.6979166667</v>
      </c>
      <c r="AO39" s="16">
        <f t="shared" si="15"/>
        <v>0</v>
      </c>
    </row>
    <row r="40">
      <c r="A40" s="51">
        <f>IF(ExponentsPractic_pst!A19="","",ExponentsPractic_pst!A19)</f>
        <v>26521</v>
      </c>
      <c r="B40" s="3" t="str">
        <f>IF(ExponentsPractic_pst!B19="","",ExponentsPractic_pst!B19)</f>
        <v>Hughes, Jace</v>
      </c>
      <c r="C40" s="2">
        <v>1.0</v>
      </c>
      <c r="D40" s="2">
        <v>1.0</v>
      </c>
      <c r="E40" s="2">
        <v>1.0</v>
      </c>
      <c r="F40" s="2">
        <v>0.0</v>
      </c>
      <c r="G40" s="2">
        <v>0.0</v>
      </c>
      <c r="H40" s="2">
        <v>1.0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1.0</v>
      </c>
      <c r="O40" s="2">
        <v>1.0</v>
      </c>
      <c r="P40" s="2">
        <v>1.0</v>
      </c>
      <c r="Q40" s="2">
        <v>0.0</v>
      </c>
      <c r="R40" s="2">
        <v>0.0</v>
      </c>
      <c r="S40" s="2">
        <v>1.0</v>
      </c>
      <c r="T40" s="2">
        <v>0.0</v>
      </c>
      <c r="U40" s="2">
        <v>2.0</v>
      </c>
      <c r="V40" s="2">
        <v>0.0</v>
      </c>
      <c r="W40" s="2">
        <v>1.0</v>
      </c>
      <c r="X40" s="2">
        <v>0.0</v>
      </c>
      <c r="Y40" s="2">
        <v>0.0</v>
      </c>
      <c r="Z40" s="2">
        <v>0.0</v>
      </c>
      <c r="AA40" s="2">
        <v>1.0</v>
      </c>
      <c r="AB40" s="2">
        <v>1.0</v>
      </c>
      <c r="AC40" s="2">
        <v>0.0</v>
      </c>
      <c r="AD40" s="2">
        <v>1.0</v>
      </c>
      <c r="AE40" s="2">
        <v>1.0</v>
      </c>
      <c r="AF40" s="2">
        <v>2.0</v>
      </c>
      <c r="AG40" s="2">
        <v>2.0</v>
      </c>
      <c r="AH40" s="2">
        <v>0.0</v>
      </c>
      <c r="AI40" s="2">
        <v>0.0</v>
      </c>
      <c r="AJ40" s="2">
        <v>0.0</v>
      </c>
      <c r="AK40" s="2">
        <v>0.0</v>
      </c>
      <c r="AL40" s="2">
        <v>2.0</v>
      </c>
      <c r="AM40" s="3">
        <f t="shared" si="13"/>
        <v>21</v>
      </c>
      <c r="AN40" s="52">
        <f t="shared" si="14"/>
        <v>0.4375</v>
      </c>
      <c r="AO40" s="16">
        <f t="shared" si="15"/>
        <v>0</v>
      </c>
    </row>
    <row r="41">
      <c r="A41" s="51">
        <f>IF(ExponentsPractic_pst!A20="","",ExponentsPractic_pst!A20)</f>
        <v>28059</v>
      </c>
      <c r="B41" s="3" t="str">
        <f>IF(ExponentsPractic_pst!B20="","",ExponentsPractic_pst!B20)</f>
        <v>Kimmel, Emmy</v>
      </c>
      <c r="C41" s="2">
        <v>1.0</v>
      </c>
      <c r="D41" s="2">
        <v>0.0</v>
      </c>
      <c r="E41" s="2">
        <v>0.0</v>
      </c>
      <c r="F41" s="2">
        <v>0.0</v>
      </c>
      <c r="G41" s="2">
        <v>0.0</v>
      </c>
      <c r="H41" s="2">
        <v>1.0</v>
      </c>
      <c r="I41" s="2">
        <v>0.0</v>
      </c>
      <c r="J41" s="2">
        <v>0.0</v>
      </c>
      <c r="K41" s="2">
        <v>1.0</v>
      </c>
      <c r="L41" s="2">
        <v>0.0</v>
      </c>
      <c r="M41" s="2">
        <v>1.0</v>
      </c>
      <c r="N41" s="2">
        <v>0.0</v>
      </c>
      <c r="O41" s="2">
        <v>1.0</v>
      </c>
      <c r="P41" s="2">
        <v>0.0</v>
      </c>
      <c r="Q41" s="2">
        <v>1.0</v>
      </c>
      <c r="R41" s="2">
        <v>1.0</v>
      </c>
      <c r="S41" s="2">
        <v>1.0</v>
      </c>
      <c r="T41" s="2">
        <v>0.0</v>
      </c>
      <c r="U41" s="2">
        <v>1.0</v>
      </c>
      <c r="V41" s="2">
        <v>0.0</v>
      </c>
      <c r="W41" s="2">
        <v>1.0</v>
      </c>
      <c r="X41" s="2">
        <v>1.0</v>
      </c>
      <c r="Y41" s="2">
        <v>0.0</v>
      </c>
      <c r="Z41" s="2">
        <v>0.0</v>
      </c>
      <c r="AA41" s="2">
        <v>1.0</v>
      </c>
      <c r="AB41" s="2">
        <v>0.0</v>
      </c>
      <c r="AC41" s="2">
        <v>1.0</v>
      </c>
      <c r="AD41" s="2">
        <v>1.0</v>
      </c>
      <c r="AE41" s="2">
        <v>1.0</v>
      </c>
      <c r="AF41" s="2">
        <v>2.0</v>
      </c>
      <c r="AG41" s="2">
        <v>2.0</v>
      </c>
      <c r="AH41" s="2">
        <v>0.0</v>
      </c>
      <c r="AI41" s="2">
        <v>1.0</v>
      </c>
      <c r="AJ41" s="2">
        <v>0.0</v>
      </c>
      <c r="AK41" s="2">
        <v>2.0</v>
      </c>
      <c r="AL41" s="2">
        <v>2.0</v>
      </c>
      <c r="AM41" s="3">
        <f t="shared" si="13"/>
        <v>24</v>
      </c>
      <c r="AN41" s="52">
        <f t="shared" si="14"/>
        <v>0.5</v>
      </c>
      <c r="AO41" s="16">
        <f t="shared" si="15"/>
        <v>0</v>
      </c>
    </row>
    <row r="42">
      <c r="A42" s="51">
        <f>IF(ExponentsPractic_pst!A21="","",ExponentsPractic_pst!A21)</f>
        <v>26657</v>
      </c>
      <c r="B42" s="3" t="str">
        <f>IF(ExponentsPractic_pst!B21="","",ExponentsPractic_pst!B21)</f>
        <v>Krueger, Colin</v>
      </c>
      <c r="C42" s="2">
        <v>1.0</v>
      </c>
      <c r="D42" s="2">
        <v>1.0</v>
      </c>
      <c r="E42" s="2">
        <v>1.0</v>
      </c>
      <c r="F42" s="2">
        <v>1.0</v>
      </c>
      <c r="G42" s="2">
        <v>1.0</v>
      </c>
      <c r="H42" s="2">
        <v>1.0</v>
      </c>
      <c r="I42" s="2">
        <v>1.0</v>
      </c>
      <c r="J42" s="2">
        <v>0.0</v>
      </c>
      <c r="K42" s="2">
        <v>1.0</v>
      </c>
      <c r="L42" s="2">
        <v>0.0</v>
      </c>
      <c r="M42" s="2">
        <v>1.0</v>
      </c>
      <c r="N42" s="2">
        <v>0.0</v>
      </c>
      <c r="O42" s="2">
        <v>1.0</v>
      </c>
      <c r="P42" s="2">
        <v>1.0</v>
      </c>
      <c r="Q42" s="2">
        <v>1.0</v>
      </c>
      <c r="R42" s="2">
        <v>0.0</v>
      </c>
      <c r="S42" s="2">
        <v>1.0</v>
      </c>
      <c r="T42" s="2">
        <v>2.0</v>
      </c>
      <c r="U42" s="2">
        <v>0.0</v>
      </c>
      <c r="V42" s="2">
        <v>0.0</v>
      </c>
      <c r="W42" s="2">
        <v>1.0</v>
      </c>
      <c r="X42" s="2">
        <v>0.0</v>
      </c>
      <c r="Y42" s="2">
        <v>0.0</v>
      </c>
      <c r="Z42" s="2">
        <v>0.0</v>
      </c>
      <c r="AA42" s="2">
        <v>1.0</v>
      </c>
      <c r="AB42" s="2">
        <v>0.0</v>
      </c>
      <c r="AC42" s="2">
        <v>0.0</v>
      </c>
      <c r="AD42" s="2">
        <v>0.0</v>
      </c>
      <c r="AE42" s="2">
        <v>0.0</v>
      </c>
      <c r="AF42" s="2">
        <v>2.0</v>
      </c>
      <c r="AG42" s="2">
        <v>0.0</v>
      </c>
      <c r="AH42" s="2">
        <v>0.0</v>
      </c>
      <c r="AI42" s="2">
        <v>1.0</v>
      </c>
      <c r="AJ42" s="2">
        <v>0.0</v>
      </c>
      <c r="AK42" s="2">
        <v>2.0</v>
      </c>
      <c r="AL42" s="2">
        <v>2.0</v>
      </c>
      <c r="AM42" s="3">
        <f t="shared" si="13"/>
        <v>24</v>
      </c>
      <c r="AN42" s="52">
        <f t="shared" si="14"/>
        <v>0.5</v>
      </c>
      <c r="AO42" s="16">
        <f t="shared" si="15"/>
        <v>0</v>
      </c>
    </row>
    <row r="43">
      <c r="A43" s="51">
        <f>IF(ExponentsPractic_pst!A22="","",ExponentsPractic_pst!A22)</f>
        <v>26297</v>
      </c>
      <c r="B43" s="3" t="str">
        <f>IF(ExponentsPractic_pst!B22="","",ExponentsPractic_pst!B22)</f>
        <v>Mueller, Marco</v>
      </c>
      <c r="C43" s="2">
        <v>1.0</v>
      </c>
      <c r="D43" s="2">
        <v>1.0</v>
      </c>
      <c r="E43" s="2">
        <v>1.0</v>
      </c>
      <c r="F43" s="2">
        <v>1.0</v>
      </c>
      <c r="G43" s="2">
        <v>1.0</v>
      </c>
      <c r="H43" s="2">
        <v>1.0</v>
      </c>
      <c r="I43" s="2">
        <v>0.0</v>
      </c>
      <c r="J43" s="2">
        <v>1.0</v>
      </c>
      <c r="K43" s="2">
        <v>1.0</v>
      </c>
      <c r="L43" s="2">
        <v>1.0</v>
      </c>
      <c r="M43" s="2">
        <v>1.0</v>
      </c>
      <c r="N43" s="2">
        <v>1.0</v>
      </c>
      <c r="O43" s="2">
        <v>1.0</v>
      </c>
      <c r="P43" s="2">
        <v>1.0</v>
      </c>
      <c r="Q43" s="2">
        <v>1.0</v>
      </c>
      <c r="R43" s="2">
        <v>1.0</v>
      </c>
      <c r="S43" s="2">
        <v>1.0</v>
      </c>
      <c r="T43" s="2">
        <v>2.0</v>
      </c>
      <c r="U43" s="2">
        <v>1.0</v>
      </c>
      <c r="V43" s="2">
        <v>2.0</v>
      </c>
      <c r="W43" s="2">
        <v>1.0</v>
      </c>
      <c r="X43" s="2">
        <v>1.0</v>
      </c>
      <c r="Y43" s="2">
        <v>1.0</v>
      </c>
      <c r="Z43" s="2">
        <v>1.0</v>
      </c>
      <c r="AA43" s="2">
        <v>1.0</v>
      </c>
      <c r="AB43" s="2">
        <v>1.0</v>
      </c>
      <c r="AC43" s="2">
        <v>1.0</v>
      </c>
      <c r="AD43" s="2">
        <v>1.0</v>
      </c>
      <c r="AE43" s="2">
        <v>1.0</v>
      </c>
      <c r="AF43" s="2">
        <v>3.0</v>
      </c>
      <c r="AG43" s="2">
        <v>2.0</v>
      </c>
      <c r="AH43" s="2">
        <v>3.0</v>
      </c>
      <c r="AI43" s="2">
        <v>1.0</v>
      </c>
      <c r="AJ43" s="2">
        <v>3.0</v>
      </c>
      <c r="AK43" s="2">
        <v>2.0</v>
      </c>
      <c r="AL43" s="2">
        <v>2.0</v>
      </c>
      <c r="AM43" s="3">
        <f t="shared" si="13"/>
        <v>46</v>
      </c>
      <c r="AN43" s="52">
        <f t="shared" si="14"/>
        <v>0.9583333333</v>
      </c>
      <c r="AO43" s="16">
        <f t="shared" si="15"/>
        <v>0</v>
      </c>
    </row>
    <row r="44">
      <c r="A44" s="51">
        <f>IF(ExponentsPractic_pst!A23="","",ExponentsPractic_pst!A23)</f>
        <v>26298</v>
      </c>
      <c r="B44" s="3" t="str">
        <f>IF(ExponentsPractic_pst!B23="","",ExponentsPractic_pst!B23)</f>
        <v>Park, Edwin</v>
      </c>
      <c r="C44" s="2">
        <v>1.0</v>
      </c>
      <c r="D44" s="2">
        <v>1.0</v>
      </c>
      <c r="E44" s="2">
        <v>1.0</v>
      </c>
      <c r="F44" s="2">
        <v>1.0</v>
      </c>
      <c r="G44" s="2">
        <v>1.0</v>
      </c>
      <c r="H44" s="2">
        <v>1.0</v>
      </c>
      <c r="I44" s="2">
        <v>1.0</v>
      </c>
      <c r="J44" s="2">
        <v>1.0</v>
      </c>
      <c r="K44" s="2">
        <v>1.0</v>
      </c>
      <c r="L44" s="2">
        <v>1.0</v>
      </c>
      <c r="M44" s="2">
        <v>1.0</v>
      </c>
      <c r="N44" s="2">
        <v>1.0</v>
      </c>
      <c r="O44" s="2">
        <v>1.0</v>
      </c>
      <c r="P44" s="2">
        <v>1.0</v>
      </c>
      <c r="Q44" s="2">
        <v>1.0</v>
      </c>
      <c r="R44" s="2">
        <v>0.0</v>
      </c>
      <c r="S44" s="2">
        <v>1.0</v>
      </c>
      <c r="T44" s="2">
        <v>2.0</v>
      </c>
      <c r="U44" s="2">
        <v>2.0</v>
      </c>
      <c r="V44" s="2">
        <v>0.0</v>
      </c>
      <c r="W44" s="2">
        <v>1.0</v>
      </c>
      <c r="X44" s="2">
        <v>1.0</v>
      </c>
      <c r="Y44" s="2">
        <v>1.0</v>
      </c>
      <c r="Z44" s="2">
        <v>1.0</v>
      </c>
      <c r="AA44" s="2">
        <v>1.0</v>
      </c>
      <c r="AB44" s="2">
        <v>1.0</v>
      </c>
      <c r="AC44" s="2">
        <v>1.0</v>
      </c>
      <c r="AD44" s="2">
        <v>1.0</v>
      </c>
      <c r="AE44" s="2">
        <v>1.0</v>
      </c>
      <c r="AF44" s="2">
        <v>3.0</v>
      </c>
      <c r="AG44" s="2">
        <v>2.0</v>
      </c>
      <c r="AH44" s="2">
        <v>1.0</v>
      </c>
      <c r="AI44" s="2">
        <v>0.5</v>
      </c>
      <c r="AJ44" s="2">
        <v>3.0</v>
      </c>
      <c r="AK44" s="2">
        <v>2.0</v>
      </c>
      <c r="AL44" s="2">
        <v>2.0</v>
      </c>
      <c r="AM44" s="3">
        <f t="shared" si="13"/>
        <v>42.5</v>
      </c>
      <c r="AN44" s="52">
        <f t="shared" si="14"/>
        <v>0.8854166667</v>
      </c>
      <c r="AO44" s="16">
        <f t="shared" si="15"/>
        <v>0</v>
      </c>
    </row>
    <row r="45">
      <c r="A45" s="51">
        <f>IF(ExponentsPractic_pst!A24="","",ExponentsPractic_pst!A24)</f>
        <v>26300</v>
      </c>
      <c r="B45" s="3" t="str">
        <f>IF(ExponentsPractic_pst!B24="","",ExponentsPractic_pst!B24)</f>
        <v>Ruttan, Logan</v>
      </c>
      <c r="C45" s="2">
        <v>1.0</v>
      </c>
      <c r="D45" s="2">
        <v>1.0</v>
      </c>
      <c r="E45" s="2">
        <v>1.0</v>
      </c>
      <c r="F45" s="2">
        <v>1.0</v>
      </c>
      <c r="G45" s="2">
        <v>1.0</v>
      </c>
      <c r="H45" s="2">
        <v>1.0</v>
      </c>
      <c r="I45" s="2">
        <v>0.0</v>
      </c>
      <c r="J45" s="2">
        <v>1.0</v>
      </c>
      <c r="K45" s="2">
        <v>0.0</v>
      </c>
      <c r="L45" s="2">
        <v>1.0</v>
      </c>
      <c r="M45" s="2">
        <v>1.0</v>
      </c>
      <c r="N45" s="2">
        <v>1.0</v>
      </c>
      <c r="O45" s="2">
        <v>1.0</v>
      </c>
      <c r="P45" s="2">
        <v>1.0</v>
      </c>
      <c r="Q45" s="2">
        <v>1.0</v>
      </c>
      <c r="R45" s="2">
        <v>0.0</v>
      </c>
      <c r="S45" s="2">
        <v>1.0</v>
      </c>
      <c r="T45" s="2">
        <v>2.0</v>
      </c>
      <c r="U45" s="2">
        <v>2.0</v>
      </c>
      <c r="V45" s="2">
        <v>0.0</v>
      </c>
      <c r="W45" s="2">
        <v>1.0</v>
      </c>
      <c r="X45" s="2">
        <v>1.0</v>
      </c>
      <c r="Y45" s="2">
        <v>1.0</v>
      </c>
      <c r="Z45" s="2">
        <v>1.0</v>
      </c>
      <c r="AA45" s="2">
        <v>1.0</v>
      </c>
      <c r="AB45" s="2">
        <v>1.0</v>
      </c>
      <c r="AC45" s="2">
        <v>1.0</v>
      </c>
      <c r="AD45" s="2">
        <v>1.0</v>
      </c>
      <c r="AE45" s="2">
        <v>1.0</v>
      </c>
      <c r="AF45" s="2">
        <v>2.0</v>
      </c>
      <c r="AG45" s="2">
        <v>2.0</v>
      </c>
      <c r="AH45" s="2">
        <v>2.0</v>
      </c>
      <c r="AI45" s="2">
        <v>1.0</v>
      </c>
      <c r="AJ45" s="2">
        <v>3.0</v>
      </c>
      <c r="AK45" s="2">
        <v>2.0</v>
      </c>
      <c r="AL45" s="2">
        <v>2.0</v>
      </c>
      <c r="AM45" s="3">
        <f t="shared" si="13"/>
        <v>41</v>
      </c>
      <c r="AN45" s="52">
        <f t="shared" si="14"/>
        <v>0.8541666667</v>
      </c>
      <c r="AO45" s="16">
        <f t="shared" si="15"/>
        <v>0</v>
      </c>
    </row>
    <row r="46">
      <c r="A46" s="51">
        <f>IF(ExponentsPractic_pst!A25="","",ExponentsPractic_pst!A25)</f>
        <v>26301</v>
      </c>
      <c r="B46" s="3" t="str">
        <f>IF(ExponentsPractic_pst!B25="","",ExponentsPractic_pst!B25)</f>
        <v>Schimmel, Calvin</v>
      </c>
      <c r="C46" s="2">
        <v>0.0</v>
      </c>
      <c r="D46" s="2">
        <v>1.0</v>
      </c>
      <c r="E46" s="2">
        <v>1.0</v>
      </c>
      <c r="F46" s="2">
        <v>1.0</v>
      </c>
      <c r="G46" s="2">
        <v>1.0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1.0</v>
      </c>
      <c r="N46" s="2">
        <v>1.0</v>
      </c>
      <c r="O46" s="2">
        <v>1.0</v>
      </c>
      <c r="P46" s="2">
        <v>0.0</v>
      </c>
      <c r="Q46" s="2">
        <v>1.0</v>
      </c>
      <c r="R46" s="2">
        <v>0.0</v>
      </c>
      <c r="S46" s="2">
        <v>1.0</v>
      </c>
      <c r="T46" s="2">
        <v>1.0</v>
      </c>
      <c r="U46" s="2">
        <v>0.0</v>
      </c>
      <c r="V46" s="2">
        <v>0.0</v>
      </c>
      <c r="W46" s="2">
        <v>1.0</v>
      </c>
      <c r="X46" s="2">
        <v>0.0</v>
      </c>
      <c r="Y46" s="2">
        <v>0.0</v>
      </c>
      <c r="Z46" s="2">
        <v>0.0</v>
      </c>
      <c r="AA46" s="2">
        <v>1.0</v>
      </c>
      <c r="AB46" s="2">
        <v>1.0</v>
      </c>
      <c r="AC46" s="2">
        <v>1.0</v>
      </c>
      <c r="AD46" s="2">
        <v>1.0</v>
      </c>
      <c r="AE46" s="2">
        <v>1.0</v>
      </c>
      <c r="AF46" s="2">
        <v>2.0</v>
      </c>
      <c r="AG46" s="2">
        <v>2.0</v>
      </c>
      <c r="AH46" s="2">
        <v>0.0</v>
      </c>
      <c r="AI46" s="2">
        <v>1.0</v>
      </c>
      <c r="AJ46" s="2">
        <v>0.0</v>
      </c>
      <c r="AK46" s="2">
        <v>0.0</v>
      </c>
      <c r="AL46" s="2">
        <v>2.0</v>
      </c>
      <c r="AM46" s="3">
        <f t="shared" si="13"/>
        <v>23</v>
      </c>
      <c r="AN46" s="52">
        <f t="shared" si="14"/>
        <v>0.4791666667</v>
      </c>
      <c r="AO46" s="16">
        <f t="shared" si="15"/>
        <v>0</v>
      </c>
    </row>
    <row r="47">
      <c r="A47" s="51">
        <f>IF(ExponentsPractic_pst!A26="","",ExponentsPractic_pst!A26)</f>
        <v>26304</v>
      </c>
      <c r="B47" s="3" t="str">
        <f>IF(ExponentsPractic_pst!B26="","",ExponentsPractic_pst!B26)</f>
        <v>Stephenson, Cale</v>
      </c>
      <c r="C47" s="2">
        <v>1.0</v>
      </c>
      <c r="D47" s="2">
        <v>0.0</v>
      </c>
      <c r="E47" s="2">
        <v>1.0</v>
      </c>
      <c r="F47" s="2">
        <v>1.0</v>
      </c>
      <c r="G47" s="2">
        <v>1.0</v>
      </c>
      <c r="H47" s="2">
        <v>1.0</v>
      </c>
      <c r="I47" s="2">
        <v>1.0</v>
      </c>
      <c r="J47" s="2">
        <v>1.0</v>
      </c>
      <c r="K47" s="2">
        <v>0.0</v>
      </c>
      <c r="L47" s="2">
        <v>1.0</v>
      </c>
      <c r="M47" s="2">
        <v>1.0</v>
      </c>
      <c r="N47" s="2">
        <v>1.0</v>
      </c>
      <c r="O47" s="2">
        <v>1.0</v>
      </c>
      <c r="P47" s="2">
        <v>1.0</v>
      </c>
      <c r="Q47" s="2">
        <v>1.0</v>
      </c>
      <c r="R47" s="2">
        <v>0.0</v>
      </c>
      <c r="S47" s="2">
        <v>0.0</v>
      </c>
      <c r="T47" s="2">
        <v>2.0</v>
      </c>
      <c r="U47" s="2">
        <v>1.0</v>
      </c>
      <c r="V47" s="2">
        <v>0.0</v>
      </c>
      <c r="W47" s="2">
        <v>1.0</v>
      </c>
      <c r="X47" s="2">
        <v>1.0</v>
      </c>
      <c r="Y47" s="2">
        <v>1.0</v>
      </c>
      <c r="Z47" s="2">
        <v>1.0</v>
      </c>
      <c r="AA47" s="2">
        <v>1.0</v>
      </c>
      <c r="AB47" s="2">
        <v>1.0</v>
      </c>
      <c r="AC47" s="2">
        <v>1.0</v>
      </c>
      <c r="AD47" s="2">
        <v>1.0</v>
      </c>
      <c r="AE47" s="2">
        <v>1.0</v>
      </c>
      <c r="AF47" s="2">
        <v>3.0</v>
      </c>
      <c r="AG47" s="2">
        <v>2.0</v>
      </c>
      <c r="AH47" s="2">
        <v>2.5</v>
      </c>
      <c r="AI47" s="2">
        <v>1.0</v>
      </c>
      <c r="AJ47" s="2">
        <v>3.0</v>
      </c>
      <c r="AK47" s="2">
        <v>2.0</v>
      </c>
      <c r="AL47" s="2">
        <v>2.0</v>
      </c>
      <c r="AM47" s="3">
        <f t="shared" si="13"/>
        <v>40.5</v>
      </c>
      <c r="AN47" s="52">
        <f t="shared" si="14"/>
        <v>0.84375</v>
      </c>
      <c r="AO47" s="16">
        <f t="shared" si="15"/>
        <v>0</v>
      </c>
    </row>
    <row r="48">
      <c r="A48" s="51">
        <f>IF(ExponentsPractic_pst!A27="","",ExponentsPractic_pst!A27)</f>
        <v>26305</v>
      </c>
      <c r="B48" s="3" t="str">
        <f>IF(ExponentsPractic_pst!B27="","",ExponentsPractic_pst!B27)</f>
        <v>Stephenson, Callum</v>
      </c>
      <c r="C48" s="2">
        <v>1.0</v>
      </c>
      <c r="D48" s="2">
        <v>0.0</v>
      </c>
      <c r="E48" s="2">
        <v>1.0</v>
      </c>
      <c r="F48" s="2">
        <v>1.0</v>
      </c>
      <c r="G48" s="2">
        <v>1.0</v>
      </c>
      <c r="H48" s="2">
        <v>1.0</v>
      </c>
      <c r="I48" s="2">
        <v>1.0</v>
      </c>
      <c r="J48" s="2">
        <v>1.0</v>
      </c>
      <c r="K48" s="2">
        <v>0.0</v>
      </c>
      <c r="L48" s="2">
        <v>1.0</v>
      </c>
      <c r="M48" s="2">
        <v>1.0</v>
      </c>
      <c r="N48" s="2">
        <v>1.0</v>
      </c>
      <c r="O48" s="2">
        <v>1.0</v>
      </c>
      <c r="P48" s="2">
        <v>1.0</v>
      </c>
      <c r="Q48" s="2">
        <v>1.0</v>
      </c>
      <c r="R48" s="2">
        <v>0.0</v>
      </c>
      <c r="S48" s="2">
        <v>1.0</v>
      </c>
      <c r="T48" s="2">
        <v>2.0</v>
      </c>
      <c r="U48" s="2">
        <v>2.0</v>
      </c>
      <c r="V48" s="2">
        <v>0.0</v>
      </c>
      <c r="W48" s="2">
        <v>1.0</v>
      </c>
      <c r="X48" s="2">
        <v>1.0</v>
      </c>
      <c r="Y48" s="2">
        <v>1.0</v>
      </c>
      <c r="Z48" s="2">
        <v>1.0</v>
      </c>
      <c r="AA48" s="2">
        <v>1.0</v>
      </c>
      <c r="AB48" s="2">
        <v>1.0</v>
      </c>
      <c r="AC48" s="2">
        <v>1.0</v>
      </c>
      <c r="AD48" s="2">
        <v>1.0</v>
      </c>
      <c r="AE48" s="2">
        <v>1.0</v>
      </c>
      <c r="AF48" s="2">
        <v>3.0</v>
      </c>
      <c r="AG48" s="2">
        <v>2.0</v>
      </c>
      <c r="AH48" s="2">
        <v>2.0</v>
      </c>
      <c r="AI48" s="2">
        <v>1.0</v>
      </c>
      <c r="AJ48" s="2">
        <v>3.0</v>
      </c>
      <c r="AK48" s="2">
        <v>2.0</v>
      </c>
      <c r="AL48" s="2">
        <v>2.0</v>
      </c>
      <c r="AM48" s="3">
        <f t="shared" si="13"/>
        <v>42</v>
      </c>
      <c r="AN48" s="52">
        <f t="shared" si="14"/>
        <v>0.875</v>
      </c>
      <c r="AO48" s="16">
        <f t="shared" si="15"/>
        <v>0</v>
      </c>
    </row>
    <row r="49">
      <c r="A49" s="57">
        <f>IF(ExponentsPractic_pst!A28="","",ExponentsPractic_pst!A28)</f>
        <v>38395</v>
      </c>
      <c r="B49" s="19" t="str">
        <f>IF(ExponentsPractic_pst!B28="","",ExponentsPractic_pst!B28)</f>
        <v>Tuks Gagnon, Adelyn</v>
      </c>
      <c r="C49" s="18">
        <v>1.0</v>
      </c>
      <c r="D49" s="18">
        <v>0.0</v>
      </c>
      <c r="E49" s="18">
        <v>0.0</v>
      </c>
      <c r="F49" s="18">
        <v>0.0</v>
      </c>
      <c r="G49" s="18">
        <v>0.0</v>
      </c>
      <c r="H49" s="18">
        <v>0.0</v>
      </c>
      <c r="I49" s="18">
        <v>0.0</v>
      </c>
      <c r="J49" s="18">
        <v>1.0</v>
      </c>
      <c r="K49" s="18">
        <v>0.0</v>
      </c>
      <c r="L49" s="18">
        <v>1.0</v>
      </c>
      <c r="M49" s="18">
        <v>0.0</v>
      </c>
      <c r="N49" s="18">
        <v>0.0</v>
      </c>
      <c r="O49" s="18">
        <v>1.0</v>
      </c>
      <c r="P49" s="18">
        <v>0.0</v>
      </c>
      <c r="Q49" s="18">
        <v>0.0</v>
      </c>
      <c r="R49" s="18">
        <v>0.0</v>
      </c>
      <c r="S49" s="18">
        <v>0.0</v>
      </c>
      <c r="T49" s="18">
        <v>0.0</v>
      </c>
      <c r="U49" s="18">
        <v>0.0</v>
      </c>
      <c r="V49" s="18">
        <v>0.0</v>
      </c>
      <c r="W49" s="18">
        <v>0.0</v>
      </c>
      <c r="X49" s="18">
        <v>1.0</v>
      </c>
      <c r="Y49" s="18">
        <v>0.0</v>
      </c>
      <c r="Z49" s="18">
        <v>1.0</v>
      </c>
      <c r="AA49" s="18">
        <v>0.0</v>
      </c>
      <c r="AB49" s="18">
        <v>1.0</v>
      </c>
      <c r="AC49" s="18">
        <v>0.0</v>
      </c>
      <c r="AD49" s="18">
        <v>0.0</v>
      </c>
      <c r="AE49" s="18">
        <v>1.0</v>
      </c>
      <c r="AF49" s="18">
        <v>1.0</v>
      </c>
      <c r="AG49" s="18">
        <v>0.0</v>
      </c>
      <c r="AH49" s="18">
        <v>0.0</v>
      </c>
      <c r="AI49" s="18">
        <v>0.5</v>
      </c>
      <c r="AJ49" s="18">
        <v>0.0</v>
      </c>
      <c r="AK49" s="18">
        <v>0.0</v>
      </c>
      <c r="AL49" s="18">
        <v>0.0</v>
      </c>
      <c r="AM49" s="19">
        <f t="shared" si="13"/>
        <v>9.5</v>
      </c>
      <c r="AN49" s="58">
        <f t="shared" si="14"/>
        <v>0.1979166667</v>
      </c>
      <c r="AO49" s="22">
        <f t="shared" si="15"/>
        <v>0</v>
      </c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 t="str">
        <f t="shared" si="13"/>
        <v/>
      </c>
      <c r="AN50" s="52" t="str">
        <f t="shared" si="14"/>
        <v/>
      </c>
      <c r="AO50" s="3" t="str">
        <f t="shared" si="15"/>
        <v/>
      </c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 t="str">
        <f t="shared" si="13"/>
        <v/>
      </c>
      <c r="AN51" s="52" t="str">
        <f t="shared" si="14"/>
        <v/>
      </c>
      <c r="AO51" s="3" t="str">
        <f t="shared" si="15"/>
        <v/>
      </c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 t="str">
        <f t="shared" si="13"/>
        <v/>
      </c>
      <c r="AN52" s="52" t="str">
        <f t="shared" si="14"/>
        <v/>
      </c>
      <c r="AO52" s="3" t="str">
        <f t="shared" si="15"/>
        <v/>
      </c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 t="str">
        <f t="shared" si="13"/>
        <v/>
      </c>
      <c r="AN53" s="52" t="str">
        <f t="shared" si="14"/>
        <v/>
      </c>
      <c r="AO53" s="3" t="str">
        <f t="shared" si="15"/>
        <v/>
      </c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 t="str">
        <f t="shared" si="13"/>
        <v/>
      </c>
      <c r="AN54" s="52" t="str">
        <f t="shared" si="14"/>
        <v/>
      </c>
      <c r="AO54" s="3" t="str">
        <f t="shared" si="15"/>
        <v/>
      </c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 t="str">
        <f t="shared" si="13"/>
        <v/>
      </c>
      <c r="AN55" s="52" t="str">
        <f t="shared" si="14"/>
        <v/>
      </c>
      <c r="AO55" s="3" t="str">
        <f t="shared" si="15"/>
        <v/>
      </c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 t="str">
        <f t="shared" si="13"/>
        <v/>
      </c>
      <c r="AN56" s="52" t="str">
        <f t="shared" si="14"/>
        <v/>
      </c>
      <c r="AO56" s="3" t="str">
        <f t="shared" si="15"/>
        <v/>
      </c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 t="str">
        <f t="shared" si="13"/>
        <v/>
      </c>
      <c r="AN57" s="52" t="str">
        <f t="shared" si="14"/>
        <v/>
      </c>
      <c r="AO57" s="3" t="str">
        <f t="shared" si="15"/>
        <v/>
      </c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 t="str">
        <f t="shared" si="13"/>
        <v/>
      </c>
      <c r="AN58" s="52" t="str">
        <f t="shared" si="14"/>
        <v/>
      </c>
      <c r="AO58" s="3" t="str">
        <f t="shared" si="15"/>
        <v/>
      </c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 t="str">
        <f t="shared" si="13"/>
        <v/>
      </c>
      <c r="AN59" s="52" t="str">
        <f t="shared" si="14"/>
        <v/>
      </c>
      <c r="AO59" s="3" t="str">
        <f t="shared" si="15"/>
        <v/>
      </c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 t="str">
        <f t="shared" si="13"/>
        <v/>
      </c>
      <c r="AN60" s="52" t="str">
        <f t="shared" si="14"/>
        <v/>
      </c>
      <c r="AO60" s="3" t="str">
        <f t="shared" si="15"/>
        <v/>
      </c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 t="str">
        <f t="shared" si="13"/>
        <v/>
      </c>
      <c r="AN61" s="52" t="str">
        <f t="shared" si="14"/>
        <v/>
      </c>
      <c r="AO61" s="3" t="str">
        <f t="shared" si="15"/>
        <v/>
      </c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 t="str">
        <f t="shared" si="13"/>
        <v/>
      </c>
      <c r="AN62" s="52" t="str">
        <f t="shared" si="14"/>
        <v/>
      </c>
      <c r="AO62" s="3" t="str">
        <f t="shared" si="15"/>
        <v/>
      </c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 t="str">
        <f t="shared" si="13"/>
        <v/>
      </c>
      <c r="AN63" s="52" t="str">
        <f t="shared" si="14"/>
        <v/>
      </c>
      <c r="AO63" s="3" t="str">
        <f t="shared" si="15"/>
        <v/>
      </c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 t="str">
        <f t="shared" si="13"/>
        <v/>
      </c>
      <c r="AN64" s="52" t="str">
        <f t="shared" si="14"/>
        <v/>
      </c>
      <c r="AO64" s="3" t="str">
        <f t="shared" si="15"/>
        <v/>
      </c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 t="str">
        <f t="shared" si="13"/>
        <v/>
      </c>
      <c r="AN65" s="52" t="str">
        <f t="shared" si="14"/>
        <v/>
      </c>
      <c r="AO65" s="3" t="str">
        <f t="shared" si="15"/>
        <v/>
      </c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 t="str">
        <f t="shared" si="13"/>
        <v/>
      </c>
      <c r="AN66" s="52" t="str">
        <f t="shared" si="14"/>
        <v/>
      </c>
      <c r="AO66" s="3" t="str">
        <f t="shared" si="15"/>
        <v/>
      </c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 t="str">
        <f t="shared" si="13"/>
        <v/>
      </c>
      <c r="AN67" s="52" t="str">
        <f t="shared" si="14"/>
        <v/>
      </c>
      <c r="AO67" s="3" t="str">
        <f t="shared" si="15"/>
        <v/>
      </c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 t="str">
        <f t="shared" si="13"/>
        <v/>
      </c>
      <c r="AN68" s="52" t="str">
        <f t="shared" si="14"/>
        <v/>
      </c>
      <c r="AO68" s="3" t="str">
        <f t="shared" si="15"/>
        <v/>
      </c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 t="str">
        <f t="shared" si="13"/>
        <v/>
      </c>
      <c r="AN69" s="52" t="str">
        <f t="shared" si="14"/>
        <v/>
      </c>
      <c r="AO69" s="3" t="str">
        <f t="shared" si="15"/>
        <v/>
      </c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 t="str">
        <f t="shared" si="13"/>
        <v/>
      </c>
      <c r="AN70" s="52" t="str">
        <f t="shared" si="14"/>
        <v/>
      </c>
      <c r="AO70" s="3" t="str">
        <f t="shared" si="15"/>
        <v/>
      </c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 t="str">
        <f t="shared" si="13"/>
        <v/>
      </c>
      <c r="AN71" s="52" t="str">
        <f t="shared" si="14"/>
        <v/>
      </c>
      <c r="AO71" s="3" t="str">
        <f t="shared" si="15"/>
        <v/>
      </c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 t="str">
        <f t="shared" si="13"/>
        <v/>
      </c>
      <c r="AN72" s="52" t="str">
        <f t="shared" si="14"/>
        <v/>
      </c>
      <c r="AO72" s="3" t="str">
        <f t="shared" si="15"/>
        <v/>
      </c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 t="str">
        <f t="shared" si="13"/>
        <v/>
      </c>
      <c r="AN73" s="52" t="str">
        <f t="shared" si="14"/>
        <v/>
      </c>
      <c r="AO73" s="3" t="str">
        <f t="shared" si="15"/>
        <v/>
      </c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 t="str">
        <f t="shared" si="13"/>
        <v/>
      </c>
      <c r="AN74" s="52" t="str">
        <f t="shared" si="14"/>
        <v/>
      </c>
      <c r="AO74" s="3" t="str">
        <f t="shared" si="15"/>
        <v/>
      </c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 t="str">
        <f t="shared" si="13"/>
        <v/>
      </c>
      <c r="AN75" s="52" t="str">
        <f t="shared" si="14"/>
        <v/>
      </c>
      <c r="AO75" s="3" t="str">
        <f t="shared" si="15"/>
        <v/>
      </c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 t="str">
        <f t="shared" si="13"/>
        <v/>
      </c>
      <c r="AN76" s="52" t="str">
        <f t="shared" si="14"/>
        <v/>
      </c>
      <c r="AO76" s="3" t="str">
        <f t="shared" si="15"/>
        <v/>
      </c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 t="str">
        <f t="shared" si="13"/>
        <v/>
      </c>
      <c r="AN77" s="52" t="str">
        <f t="shared" si="14"/>
        <v/>
      </c>
      <c r="AO77" s="3" t="str">
        <f t="shared" si="15"/>
        <v/>
      </c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 t="str">
        <f t="shared" si="13"/>
        <v/>
      </c>
      <c r="AN78" s="52" t="str">
        <f t="shared" si="14"/>
        <v/>
      </c>
      <c r="AO78" s="3" t="str">
        <f t="shared" si="15"/>
        <v/>
      </c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 t="str">
        <f t="shared" si="13"/>
        <v/>
      </c>
      <c r="AN79" s="52" t="str">
        <f t="shared" si="14"/>
        <v/>
      </c>
      <c r="AO79" s="3" t="str">
        <f t="shared" si="15"/>
        <v/>
      </c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6"/>
      <c r="AO80" s="3"/>
    </row>
    <row r="81">
      <c r="A81" s="2" t="s">
        <v>113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6"/>
      <c r="AO81" s="3"/>
    </row>
    <row r="82">
      <c r="A82" s="2" t="s">
        <v>114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6"/>
      <c r="AO82" s="3"/>
    </row>
    <row r="83">
      <c r="A83" s="2" t="s">
        <v>115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6"/>
      <c r="AO83" s="3"/>
    </row>
    <row r="84">
      <c r="A84" s="2" t="s">
        <v>116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6"/>
      <c r="AO84" s="3"/>
    </row>
    <row r="85">
      <c r="A85" s="2" t="s">
        <v>117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6"/>
      <c r="AO85" s="3"/>
    </row>
    <row r="86">
      <c r="A86" s="2" t="s">
        <v>118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6"/>
      <c r="AO86" s="3"/>
    </row>
    <row r="87">
      <c r="A87" s="2" t="s">
        <v>119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6"/>
      <c r="AO87" s="3"/>
    </row>
    <row r="88">
      <c r="A88" s="2" t="s">
        <v>120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6"/>
      <c r="AO88" s="3"/>
    </row>
    <row r="89">
      <c r="A89" s="2" t="s">
        <v>121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6"/>
      <c r="AO89" s="3"/>
    </row>
    <row r="90">
      <c r="A90" s="2" t="s">
        <v>122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6"/>
      <c r="AO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6"/>
      <c r="AO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6"/>
      <c r="AO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6"/>
      <c r="AO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6"/>
      <c r="AO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6"/>
      <c r="AO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6"/>
      <c r="AO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6"/>
      <c r="AO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6"/>
      <c r="AO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6"/>
      <c r="AO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6"/>
      <c r="AO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6"/>
      <c r="AO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6"/>
      <c r="AO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6"/>
      <c r="AO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6"/>
      <c r="AO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6"/>
      <c r="AO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6"/>
      <c r="AO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6"/>
      <c r="AO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6"/>
      <c r="AO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6"/>
      <c r="AO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6"/>
      <c r="AO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6"/>
      <c r="AO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6"/>
      <c r="AO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6"/>
      <c r="AO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6"/>
      <c r="AO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6"/>
      <c r="AO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6"/>
      <c r="AO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6"/>
      <c r="AO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6"/>
      <c r="AO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6"/>
      <c r="AO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6"/>
      <c r="AO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6"/>
      <c r="AO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6"/>
      <c r="AO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6"/>
      <c r="AO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6"/>
      <c r="AO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6"/>
      <c r="AO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6"/>
      <c r="AO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6"/>
      <c r="AO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6"/>
      <c r="AO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6"/>
      <c r="AO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6"/>
      <c r="AO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6"/>
      <c r="AO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6"/>
      <c r="AO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6"/>
      <c r="AO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6"/>
      <c r="AO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6"/>
      <c r="AO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6"/>
      <c r="AO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6"/>
      <c r="AO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6"/>
      <c r="AO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6"/>
      <c r="AO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6"/>
      <c r="AO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6"/>
      <c r="AO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6"/>
      <c r="AO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6"/>
      <c r="AO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6"/>
      <c r="AO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6"/>
      <c r="AO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6"/>
      <c r="AO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6"/>
      <c r="AO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6"/>
      <c r="AO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6"/>
      <c r="AO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6"/>
      <c r="AO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6"/>
      <c r="AO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6"/>
      <c r="AO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6"/>
      <c r="AO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6"/>
      <c r="AO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6"/>
      <c r="AO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6"/>
      <c r="AO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6"/>
      <c r="AO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6"/>
      <c r="AO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6"/>
      <c r="AO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6"/>
      <c r="AO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6"/>
      <c r="AO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6"/>
      <c r="AO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6"/>
      <c r="AO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6"/>
      <c r="AO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6"/>
      <c r="AO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6"/>
      <c r="AO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6"/>
      <c r="AO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6"/>
      <c r="AO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6"/>
      <c r="AO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6"/>
      <c r="AO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6"/>
      <c r="AO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6"/>
      <c r="AO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6"/>
      <c r="AO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6"/>
      <c r="AO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6"/>
      <c r="AO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6"/>
      <c r="AO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6"/>
      <c r="AO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6"/>
      <c r="AO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6"/>
      <c r="AO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6"/>
      <c r="AO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6"/>
      <c r="AO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6"/>
      <c r="AO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6"/>
      <c r="AO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6"/>
      <c r="AO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6"/>
      <c r="AO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6"/>
      <c r="AO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6"/>
      <c r="AO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6"/>
      <c r="AO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6"/>
      <c r="AO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6"/>
      <c r="AO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6"/>
      <c r="AO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6"/>
      <c r="AO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6"/>
      <c r="AO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6"/>
      <c r="AO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6"/>
      <c r="AO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6"/>
      <c r="AO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6"/>
      <c r="AO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6"/>
      <c r="AO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6"/>
      <c r="AO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6"/>
      <c r="AO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6"/>
      <c r="AO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6"/>
      <c r="AO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6"/>
      <c r="AO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6"/>
      <c r="AO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6"/>
      <c r="AO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6"/>
      <c r="AO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6"/>
      <c r="AO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6"/>
      <c r="AO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6"/>
      <c r="AO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6"/>
      <c r="AO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6"/>
      <c r="AO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6"/>
      <c r="AO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6"/>
      <c r="AO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6"/>
      <c r="AO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6"/>
      <c r="AO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6"/>
      <c r="AO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6"/>
      <c r="AO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6"/>
      <c r="AO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6"/>
      <c r="AO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6"/>
      <c r="AO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6"/>
      <c r="AO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6"/>
      <c r="AO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6"/>
      <c r="AO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6"/>
      <c r="AO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6"/>
      <c r="AO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6"/>
      <c r="AO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6"/>
      <c r="AO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6"/>
      <c r="AO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6"/>
      <c r="AO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6"/>
      <c r="AO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6"/>
      <c r="AO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6"/>
      <c r="AO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6"/>
      <c r="AO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6"/>
      <c r="AO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6"/>
      <c r="AO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6"/>
      <c r="AO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6"/>
      <c r="AO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6"/>
      <c r="AO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6"/>
      <c r="AO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6"/>
      <c r="AO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6"/>
      <c r="AO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6"/>
      <c r="AO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6"/>
      <c r="AO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6"/>
      <c r="AO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6"/>
      <c r="AO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6"/>
      <c r="AO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6"/>
      <c r="AO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6"/>
      <c r="AO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6"/>
      <c r="AO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6"/>
      <c r="AO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6"/>
      <c r="AO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6"/>
      <c r="AO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6"/>
      <c r="AO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6"/>
      <c r="AO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6"/>
      <c r="AO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6"/>
      <c r="AO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6"/>
      <c r="AO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6"/>
      <c r="AO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6"/>
      <c r="AO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6"/>
      <c r="AO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6"/>
      <c r="AO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6"/>
      <c r="AO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6"/>
      <c r="AO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6"/>
      <c r="AO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6"/>
      <c r="AO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6"/>
      <c r="AO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6"/>
      <c r="AO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6"/>
      <c r="AO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6"/>
      <c r="AO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6"/>
      <c r="AO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6"/>
      <c r="AO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6"/>
      <c r="AO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6"/>
      <c r="AO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6"/>
      <c r="AO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6"/>
      <c r="AO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6"/>
      <c r="AO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6"/>
      <c r="AO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6"/>
      <c r="AO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6"/>
      <c r="AO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6"/>
      <c r="AO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6"/>
      <c r="AO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6"/>
      <c r="AO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6"/>
      <c r="AO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6"/>
      <c r="AO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6"/>
      <c r="AO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6"/>
      <c r="AO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6"/>
      <c r="AO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6"/>
      <c r="AO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6"/>
      <c r="AO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6"/>
      <c r="AO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6"/>
      <c r="AO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6"/>
      <c r="AO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6"/>
      <c r="AO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6"/>
      <c r="AO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6"/>
      <c r="AO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6"/>
      <c r="AO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6"/>
      <c r="AO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6"/>
      <c r="AO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6"/>
      <c r="AO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6"/>
      <c r="AO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6"/>
      <c r="AO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6"/>
      <c r="AO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6"/>
      <c r="AO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6"/>
      <c r="AO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6"/>
      <c r="AO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6"/>
      <c r="AO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6"/>
      <c r="AO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6"/>
      <c r="AO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6"/>
      <c r="AO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6"/>
      <c r="AO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6"/>
      <c r="AO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6"/>
      <c r="AO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6"/>
      <c r="AO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6"/>
      <c r="AO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6"/>
      <c r="AO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6"/>
      <c r="AO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6"/>
      <c r="AO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6"/>
      <c r="AO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6"/>
      <c r="AO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6"/>
      <c r="AO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6"/>
      <c r="AO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6"/>
      <c r="AO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6"/>
      <c r="AO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6"/>
      <c r="AO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6"/>
      <c r="AO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6"/>
      <c r="AO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6"/>
      <c r="AO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6"/>
      <c r="AO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6"/>
      <c r="AO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6"/>
      <c r="AO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6"/>
      <c r="AO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6"/>
      <c r="AO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6"/>
      <c r="AO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6"/>
      <c r="AO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6"/>
      <c r="AO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6"/>
      <c r="AO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6"/>
      <c r="AO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6"/>
      <c r="AO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6"/>
      <c r="AO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6"/>
      <c r="AO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6"/>
      <c r="AO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6"/>
      <c r="AO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6"/>
      <c r="AO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6"/>
      <c r="AO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6"/>
      <c r="AO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6"/>
      <c r="AO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6"/>
      <c r="AO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6"/>
      <c r="AO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6"/>
      <c r="AO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6"/>
      <c r="AO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6"/>
      <c r="AO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6"/>
      <c r="AO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6"/>
      <c r="AO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6"/>
      <c r="AO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6"/>
      <c r="AO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6"/>
      <c r="AO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6"/>
      <c r="AO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6"/>
      <c r="AO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6"/>
      <c r="AO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6"/>
      <c r="AO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6"/>
      <c r="AO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6"/>
      <c r="AO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6"/>
      <c r="AO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6"/>
      <c r="AO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6"/>
      <c r="AO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6"/>
      <c r="AO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6"/>
      <c r="AO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6"/>
      <c r="AO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6"/>
      <c r="AO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6"/>
      <c r="AO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6"/>
      <c r="AO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6"/>
      <c r="AO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6"/>
      <c r="AO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6"/>
      <c r="AO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6"/>
      <c r="AO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6"/>
      <c r="AO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6"/>
      <c r="AO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6"/>
      <c r="AO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6"/>
      <c r="AO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6"/>
      <c r="AO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6"/>
      <c r="AO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6"/>
      <c r="AO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6"/>
      <c r="AO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6"/>
      <c r="AO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6"/>
      <c r="AO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6"/>
      <c r="AO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6"/>
      <c r="AO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6"/>
      <c r="AO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6"/>
      <c r="AO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6"/>
      <c r="AO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6"/>
      <c r="AO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6"/>
      <c r="AO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6"/>
      <c r="AO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6"/>
      <c r="AO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6"/>
      <c r="AO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6"/>
      <c r="AO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6"/>
      <c r="AO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6"/>
      <c r="AO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6"/>
      <c r="AO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6"/>
      <c r="AO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6"/>
      <c r="AO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6"/>
      <c r="AO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6"/>
      <c r="AO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6"/>
      <c r="AO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6"/>
      <c r="AO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6"/>
      <c r="AO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6"/>
      <c r="AO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6"/>
      <c r="AO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6"/>
      <c r="AO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6"/>
      <c r="AO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6"/>
      <c r="AO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6"/>
      <c r="AO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6"/>
      <c r="AO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6"/>
      <c r="AO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6"/>
      <c r="AO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6"/>
      <c r="AO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6"/>
      <c r="AO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6"/>
      <c r="AO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6"/>
      <c r="AO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6"/>
      <c r="AO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6"/>
      <c r="AO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6"/>
      <c r="AO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6"/>
      <c r="AO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6"/>
      <c r="AO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6"/>
      <c r="AO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6"/>
      <c r="AO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6"/>
      <c r="AO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6"/>
      <c r="AO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6"/>
      <c r="AO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6"/>
      <c r="AO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6"/>
      <c r="AO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6"/>
      <c r="AO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6"/>
      <c r="AO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6"/>
      <c r="AO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6"/>
      <c r="AO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6"/>
      <c r="AO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6"/>
      <c r="AO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6"/>
      <c r="AO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6"/>
      <c r="AO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6"/>
      <c r="AO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6"/>
      <c r="AO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6"/>
      <c r="AO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6"/>
      <c r="AO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6"/>
      <c r="AO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6"/>
      <c r="AO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6"/>
      <c r="AO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6"/>
      <c r="AO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6"/>
      <c r="AO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6"/>
      <c r="AO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6"/>
      <c r="AO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6"/>
      <c r="AO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6"/>
      <c r="AO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6"/>
      <c r="AO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6"/>
      <c r="AO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6"/>
      <c r="AO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6"/>
      <c r="AO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6"/>
      <c r="AO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6"/>
      <c r="AO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6"/>
      <c r="AO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6"/>
      <c r="AO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6"/>
      <c r="AO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6"/>
      <c r="AO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6"/>
      <c r="AO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6"/>
      <c r="AO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6"/>
      <c r="AO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6"/>
      <c r="AO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6"/>
      <c r="AO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6"/>
      <c r="AO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6"/>
      <c r="AO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6"/>
      <c r="AO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6"/>
      <c r="AO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6"/>
      <c r="AO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6"/>
      <c r="AO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6"/>
      <c r="AO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6"/>
      <c r="AO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6"/>
      <c r="AO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6"/>
      <c r="AO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6"/>
      <c r="AO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6"/>
      <c r="AO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6"/>
      <c r="AO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6"/>
      <c r="AO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6"/>
      <c r="AO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6"/>
      <c r="AO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6"/>
      <c r="AO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6"/>
      <c r="AO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6"/>
      <c r="AO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6"/>
      <c r="AO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6"/>
      <c r="AO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6"/>
      <c r="AO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6"/>
      <c r="AO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6"/>
      <c r="AO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6"/>
      <c r="AO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6"/>
      <c r="AO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6"/>
      <c r="AO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6"/>
      <c r="AO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6"/>
      <c r="AO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6"/>
      <c r="AO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6"/>
      <c r="AO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6"/>
      <c r="AO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6"/>
      <c r="AO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6"/>
      <c r="AO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6"/>
      <c r="AO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6"/>
      <c r="AO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6"/>
      <c r="AO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6"/>
      <c r="AO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6"/>
      <c r="AO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6"/>
      <c r="AO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6"/>
      <c r="AO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6"/>
      <c r="AO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6"/>
      <c r="AO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6"/>
      <c r="AO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6"/>
      <c r="AO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6"/>
      <c r="AO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6"/>
      <c r="AO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6"/>
      <c r="AO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6"/>
      <c r="AO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6"/>
      <c r="AO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6"/>
      <c r="AO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6"/>
      <c r="AO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6"/>
      <c r="AO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6"/>
      <c r="AO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6"/>
      <c r="AO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6"/>
      <c r="AO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6"/>
      <c r="AO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6"/>
      <c r="AO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6"/>
      <c r="AO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6"/>
      <c r="AO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6"/>
      <c r="AO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6"/>
      <c r="AO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6"/>
      <c r="AO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6"/>
      <c r="AO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6"/>
      <c r="AO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6"/>
      <c r="AO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6"/>
      <c r="AO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6"/>
      <c r="AO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6"/>
      <c r="AO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6"/>
      <c r="AO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6"/>
      <c r="AO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6"/>
      <c r="AO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6"/>
      <c r="AO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6"/>
      <c r="AO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6"/>
      <c r="AO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6"/>
      <c r="AO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6"/>
      <c r="AO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6"/>
      <c r="AO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6"/>
      <c r="AO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6"/>
      <c r="AO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6"/>
      <c r="AO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6"/>
      <c r="AO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6"/>
      <c r="AO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6"/>
      <c r="AO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6"/>
      <c r="AO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6"/>
      <c r="AO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6"/>
      <c r="AO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6"/>
      <c r="AO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6"/>
      <c r="AO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6"/>
      <c r="AO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6"/>
      <c r="AO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6"/>
      <c r="AO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6"/>
      <c r="AO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6"/>
      <c r="AO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6"/>
      <c r="AO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6"/>
      <c r="AO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6"/>
      <c r="AO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6"/>
      <c r="AO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6"/>
      <c r="AO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6"/>
      <c r="AO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6"/>
      <c r="AO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6"/>
      <c r="AO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6"/>
      <c r="AO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6"/>
      <c r="AO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6"/>
      <c r="AO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6"/>
      <c r="AO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6"/>
      <c r="AO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6"/>
      <c r="AO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6"/>
      <c r="AO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6"/>
      <c r="AO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6"/>
      <c r="AO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6"/>
      <c r="AO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6"/>
      <c r="AO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6"/>
      <c r="AO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6"/>
      <c r="AO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6"/>
      <c r="AO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6"/>
      <c r="AO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6"/>
      <c r="AO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6"/>
      <c r="AO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6"/>
      <c r="AO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6"/>
      <c r="AO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6"/>
      <c r="AO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6"/>
      <c r="AO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6"/>
      <c r="AO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6"/>
      <c r="AO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6"/>
      <c r="AO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6"/>
      <c r="AO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6"/>
      <c r="AO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6"/>
      <c r="AO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6"/>
      <c r="AO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6"/>
      <c r="AO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6"/>
      <c r="AO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6"/>
      <c r="AO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6"/>
      <c r="AO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6"/>
      <c r="AO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6"/>
      <c r="AO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6"/>
      <c r="AO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6"/>
      <c r="AO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6"/>
      <c r="AO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6"/>
      <c r="AO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6"/>
      <c r="AO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6"/>
      <c r="AO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6"/>
      <c r="AO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6"/>
      <c r="AO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6"/>
      <c r="AO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6"/>
      <c r="AO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6"/>
      <c r="AO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6"/>
      <c r="AO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6"/>
      <c r="AO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6"/>
      <c r="AO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6"/>
      <c r="AO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6"/>
      <c r="AO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6"/>
      <c r="AO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6"/>
      <c r="AO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6"/>
      <c r="AO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6"/>
      <c r="AO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6"/>
      <c r="AO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6"/>
      <c r="AO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6"/>
      <c r="AO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6"/>
      <c r="AO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6"/>
      <c r="AO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6"/>
      <c r="AO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6"/>
      <c r="AO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6"/>
      <c r="AO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6"/>
      <c r="AO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6"/>
      <c r="AO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6"/>
      <c r="AO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6"/>
      <c r="AO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6"/>
      <c r="AO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6"/>
      <c r="AO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6"/>
      <c r="AO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6"/>
      <c r="AO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6"/>
      <c r="AO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6"/>
      <c r="AO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6"/>
      <c r="AO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6"/>
      <c r="AO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6"/>
      <c r="AO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6"/>
      <c r="AO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6"/>
      <c r="AO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6"/>
      <c r="AO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6"/>
      <c r="AO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6"/>
      <c r="AO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6"/>
      <c r="AO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6"/>
      <c r="AO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6"/>
      <c r="AO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6"/>
      <c r="AO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6"/>
      <c r="AO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6"/>
      <c r="AO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6"/>
      <c r="AO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6"/>
      <c r="AO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6"/>
      <c r="AO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6"/>
      <c r="AO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6"/>
      <c r="AO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6"/>
      <c r="AO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6"/>
      <c r="AO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6"/>
      <c r="AO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6"/>
      <c r="AO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6"/>
      <c r="AO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6"/>
      <c r="AO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6"/>
      <c r="AO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6"/>
      <c r="AO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6"/>
      <c r="AO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6"/>
      <c r="AO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6"/>
      <c r="AO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6"/>
      <c r="AO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6"/>
      <c r="AO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6"/>
      <c r="AO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6"/>
      <c r="AO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6"/>
      <c r="AO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6"/>
      <c r="AO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6"/>
      <c r="AO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6"/>
      <c r="AO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6"/>
      <c r="AO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6"/>
      <c r="AO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6"/>
      <c r="AO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6"/>
      <c r="AO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6"/>
      <c r="AO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6"/>
      <c r="AO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6"/>
      <c r="AO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6"/>
      <c r="AO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6"/>
      <c r="AO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6"/>
      <c r="AO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6"/>
      <c r="AO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6"/>
      <c r="AO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6"/>
      <c r="AO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6"/>
      <c r="AO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6"/>
      <c r="AO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6"/>
      <c r="AO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6"/>
      <c r="AO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6"/>
      <c r="AO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6"/>
      <c r="AO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6"/>
      <c r="AO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6"/>
      <c r="AO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6"/>
      <c r="AO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6"/>
      <c r="AO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6"/>
      <c r="AO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6"/>
      <c r="AO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6"/>
      <c r="AO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6"/>
      <c r="AO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6"/>
      <c r="AO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6"/>
      <c r="AO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6"/>
      <c r="AO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6"/>
      <c r="AO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6"/>
      <c r="AO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6"/>
      <c r="AO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6"/>
      <c r="AO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6"/>
      <c r="AO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6"/>
      <c r="AO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6"/>
      <c r="AO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6"/>
      <c r="AO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6"/>
      <c r="AO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6"/>
      <c r="AO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6"/>
      <c r="AO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6"/>
      <c r="AO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6"/>
      <c r="AO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6"/>
      <c r="AO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6"/>
      <c r="AO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6"/>
      <c r="AO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6"/>
      <c r="AO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6"/>
      <c r="AO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6"/>
      <c r="AO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6"/>
      <c r="AO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6"/>
      <c r="AO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6"/>
      <c r="AO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6"/>
      <c r="AO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6"/>
      <c r="AO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6"/>
      <c r="AO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6"/>
      <c r="AO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6"/>
      <c r="AO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6"/>
      <c r="AO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6"/>
      <c r="AO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6"/>
      <c r="AO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6"/>
      <c r="AO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6"/>
      <c r="AO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6"/>
      <c r="AO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6"/>
      <c r="AO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6"/>
      <c r="AO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6"/>
      <c r="AO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6"/>
      <c r="AO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6"/>
      <c r="AO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6"/>
      <c r="AO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6"/>
      <c r="AO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6"/>
      <c r="AO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6"/>
      <c r="AO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6"/>
      <c r="AO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6"/>
      <c r="AO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6"/>
      <c r="AO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6"/>
      <c r="AO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6"/>
      <c r="AO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6"/>
      <c r="AO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6"/>
      <c r="AO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6"/>
      <c r="AO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6"/>
      <c r="AO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6"/>
      <c r="AO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6"/>
      <c r="AO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6"/>
      <c r="AO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6"/>
      <c r="AO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6"/>
      <c r="AO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6"/>
      <c r="AO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6"/>
      <c r="AO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6"/>
      <c r="AO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6"/>
      <c r="AO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6"/>
      <c r="AO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6"/>
      <c r="AO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6"/>
      <c r="AO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6"/>
      <c r="AO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6"/>
      <c r="AO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6"/>
      <c r="AO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6"/>
      <c r="AO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6"/>
      <c r="AO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6"/>
      <c r="AO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6"/>
      <c r="AO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6"/>
      <c r="AO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6"/>
      <c r="AO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6"/>
      <c r="AO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6"/>
      <c r="AO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6"/>
      <c r="AO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6"/>
      <c r="AO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6"/>
      <c r="AO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6"/>
      <c r="AO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6"/>
      <c r="AO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6"/>
      <c r="AO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6"/>
      <c r="AO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6"/>
      <c r="AO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6"/>
      <c r="AO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6"/>
      <c r="AO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6"/>
      <c r="AO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6"/>
      <c r="AO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6"/>
      <c r="AO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6"/>
      <c r="AO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6"/>
      <c r="AO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6"/>
      <c r="AO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6"/>
      <c r="AO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6"/>
      <c r="AO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6"/>
      <c r="AO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6"/>
      <c r="AO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6"/>
      <c r="AO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6"/>
      <c r="AO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6"/>
      <c r="AO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6"/>
      <c r="AO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6"/>
      <c r="AO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6"/>
      <c r="AO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6"/>
      <c r="AO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6"/>
      <c r="AO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6"/>
      <c r="AO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6"/>
      <c r="AO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6"/>
      <c r="AO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6"/>
      <c r="AO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6"/>
      <c r="AO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6"/>
      <c r="AO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6"/>
      <c r="AO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6"/>
      <c r="AO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6"/>
      <c r="AO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6"/>
      <c r="AO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6"/>
      <c r="AO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6"/>
      <c r="AO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6"/>
      <c r="AO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6"/>
      <c r="AO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6"/>
      <c r="AO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6"/>
      <c r="AO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6"/>
      <c r="AO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6"/>
      <c r="AO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6"/>
      <c r="AO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6"/>
      <c r="AO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6"/>
      <c r="AO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6"/>
      <c r="AO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6"/>
      <c r="AO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6"/>
      <c r="AO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6"/>
      <c r="AO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6"/>
      <c r="AO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6"/>
      <c r="AO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6"/>
      <c r="AO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6"/>
      <c r="AO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6"/>
      <c r="AO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6"/>
      <c r="AO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6"/>
      <c r="AO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6"/>
      <c r="AO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6"/>
      <c r="AO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6"/>
      <c r="AO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6"/>
      <c r="AO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6"/>
      <c r="AO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6"/>
      <c r="AO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6"/>
      <c r="AO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6"/>
      <c r="AO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6"/>
      <c r="AO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6"/>
      <c r="AO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6"/>
      <c r="AO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6"/>
      <c r="AO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6"/>
      <c r="AO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6"/>
      <c r="AO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6"/>
      <c r="AO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6"/>
      <c r="AO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6"/>
      <c r="AO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6"/>
      <c r="AO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6"/>
      <c r="AO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6"/>
      <c r="AO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6"/>
      <c r="AO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6"/>
      <c r="AO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6"/>
      <c r="AO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6"/>
      <c r="AO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6"/>
      <c r="AO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6"/>
      <c r="AO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6"/>
      <c r="AO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6"/>
      <c r="AO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6"/>
      <c r="AO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6"/>
      <c r="AO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6"/>
      <c r="AO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6"/>
      <c r="AO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6"/>
      <c r="AO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6"/>
      <c r="AO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6"/>
      <c r="AO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6"/>
      <c r="AO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6"/>
      <c r="AO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6"/>
      <c r="AO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6"/>
      <c r="AO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6"/>
      <c r="AO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6"/>
      <c r="AO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6"/>
      <c r="AO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6"/>
      <c r="AO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6"/>
      <c r="AO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6"/>
      <c r="AO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6"/>
      <c r="AO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6"/>
      <c r="AO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6"/>
      <c r="AO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6"/>
      <c r="AO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6"/>
      <c r="AO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6"/>
      <c r="AO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6"/>
      <c r="AO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6"/>
      <c r="AO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6"/>
      <c r="AO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6"/>
      <c r="AO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6"/>
      <c r="AO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6"/>
      <c r="AO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6"/>
      <c r="AO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6"/>
      <c r="AO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6"/>
      <c r="AO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6"/>
      <c r="AO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6"/>
      <c r="AO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6"/>
      <c r="AO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6"/>
      <c r="AO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6"/>
      <c r="AO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6"/>
      <c r="AO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6"/>
      <c r="AO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6"/>
      <c r="AO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6"/>
      <c r="AO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6"/>
      <c r="AO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6"/>
      <c r="AO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6"/>
      <c r="AO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6"/>
      <c r="AO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6"/>
      <c r="AO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6"/>
      <c r="AO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6"/>
      <c r="AO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6"/>
      <c r="AO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6"/>
      <c r="AO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6"/>
      <c r="AO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6"/>
      <c r="AO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6"/>
      <c r="AO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6"/>
      <c r="AO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6"/>
      <c r="AO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6"/>
      <c r="AO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6"/>
      <c r="AO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6"/>
      <c r="AO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6"/>
      <c r="AO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6"/>
      <c r="AO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6"/>
      <c r="AO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6"/>
      <c r="AO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6"/>
      <c r="AO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6"/>
      <c r="AO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6"/>
      <c r="AO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6"/>
      <c r="AO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6"/>
      <c r="AO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6"/>
      <c r="AO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6"/>
      <c r="AO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6"/>
      <c r="AO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6"/>
      <c r="AO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6"/>
      <c r="AO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6"/>
      <c r="AO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6"/>
      <c r="AO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6"/>
      <c r="AO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6"/>
      <c r="AO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6"/>
      <c r="AO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6"/>
      <c r="AO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6"/>
      <c r="AO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6"/>
      <c r="AO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6"/>
      <c r="AO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6"/>
      <c r="AO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6"/>
      <c r="AO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6"/>
      <c r="AO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6"/>
      <c r="AO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6"/>
      <c r="AO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6"/>
      <c r="AO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6"/>
      <c r="AO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6"/>
      <c r="AO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6"/>
      <c r="AO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6"/>
      <c r="AO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6"/>
      <c r="AO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6"/>
      <c r="AO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6"/>
      <c r="AO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6"/>
      <c r="AO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6"/>
      <c r="AO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6"/>
      <c r="AO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6"/>
      <c r="AO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6"/>
      <c r="AO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6"/>
      <c r="AO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6"/>
      <c r="AO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6"/>
      <c r="AO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6"/>
      <c r="AO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6"/>
      <c r="AO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6"/>
      <c r="AO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6"/>
      <c r="AO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6"/>
      <c r="AO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6"/>
      <c r="AO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6"/>
      <c r="AO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6"/>
      <c r="AO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6"/>
      <c r="AO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6"/>
      <c r="AO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6"/>
      <c r="AO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6"/>
      <c r="AO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6"/>
      <c r="AO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6"/>
      <c r="AO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6"/>
      <c r="AO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6"/>
      <c r="AO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6"/>
      <c r="AO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6"/>
      <c r="AO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6"/>
      <c r="AO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6"/>
      <c r="AO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6"/>
      <c r="AO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6"/>
      <c r="AO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6"/>
      <c r="AO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6"/>
      <c r="AO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6"/>
      <c r="AO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6"/>
      <c r="AO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6"/>
      <c r="AO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6"/>
      <c r="AO1001" s="3"/>
    </row>
  </sheetData>
  <drawing r:id="rId1"/>
</worksheet>
</file>